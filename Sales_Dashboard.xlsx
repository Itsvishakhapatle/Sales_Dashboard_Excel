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Vinu\Downloads\NA Internship\"/>
    </mc:Choice>
  </mc:AlternateContent>
  <xr:revisionPtr revIDLastSave="0" documentId="13_ncr:1_{E255F5C7-6908-400F-8EEC-F30A78F2D64E}" xr6:coauthVersionLast="47" xr6:coauthVersionMax="47" xr10:uidLastSave="{00000000-0000-0000-0000-000000000000}"/>
  <bookViews>
    <workbookView xWindow="-110" yWindow="-110" windowWidth="19420" windowHeight="10300" activeTab="1" xr2:uid="{00000000-000D-0000-FFFF-FFFF00000000}"/>
  </bookViews>
  <sheets>
    <sheet name="data" sheetId="1" r:id="rId1"/>
    <sheet name="dashboard" sheetId="3" r:id="rId2"/>
    <sheet name="RAW" sheetId="2" r:id="rId3"/>
  </sheets>
  <definedNames>
    <definedName name="Slicer_Category">#N/A</definedName>
    <definedName name="Slicer_Months_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01" i="1" l="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B5" i="2" s="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3" i="2" l="1"/>
  <c r="B1" i="2"/>
</calcChain>
</file>

<file path=xl/sharedStrings.xml><?xml version="1.0" encoding="utf-8"?>
<sst xmlns="http://schemas.openxmlformats.org/spreadsheetml/2006/main" count="5040" uniqueCount="1035">
  <si>
    <t>Order ID</t>
  </si>
  <si>
    <t>Date</t>
  </si>
  <si>
    <t>Customer Name</t>
  </si>
  <si>
    <t>Region</t>
  </si>
  <si>
    <t>Product</t>
  </si>
  <si>
    <t>Category</t>
  </si>
  <si>
    <t>Quantity</t>
  </si>
  <si>
    <t>Price</t>
  </si>
  <si>
    <t>Discount</t>
  </si>
  <si>
    <t>Total</t>
  </si>
  <si>
    <t>Patrick Sanchez</t>
  </si>
  <si>
    <t>Megan Mcclain</t>
  </si>
  <si>
    <t>Amanda Davis</t>
  </si>
  <si>
    <t>Alyssa Gonzalez</t>
  </si>
  <si>
    <t>Jennifer Cole</t>
  </si>
  <si>
    <t>Abigail Shaffer</t>
  </si>
  <si>
    <t>Donald Lewis</t>
  </si>
  <si>
    <t>Brandon Davis</t>
  </si>
  <si>
    <t>Dennis Williams</t>
  </si>
  <si>
    <t>Valerie Gray</t>
  </si>
  <si>
    <t>Mark Mcclure</t>
  </si>
  <si>
    <t>Michele Williams</t>
  </si>
  <si>
    <t>Victoria Wyatt</t>
  </si>
  <si>
    <t>Donald Reid</t>
  </si>
  <si>
    <t>Henry Santiago</t>
  </si>
  <si>
    <t>Maria Lynch</t>
  </si>
  <si>
    <t>Danielle Ford</t>
  </si>
  <si>
    <t>Margaret Hawkins DDS</t>
  </si>
  <si>
    <t>Amy Underwood</t>
  </si>
  <si>
    <t>Emily Rios</t>
  </si>
  <si>
    <t>Maria Thomas</t>
  </si>
  <si>
    <t>Justin Baker</t>
  </si>
  <si>
    <t>Kevin Cox</t>
  </si>
  <si>
    <t>Ann Williams</t>
  </si>
  <si>
    <t>Christopher Becker</t>
  </si>
  <si>
    <t>James Ferrell</t>
  </si>
  <si>
    <t>Juan Dunlap</t>
  </si>
  <si>
    <t>Melanie Herrera</t>
  </si>
  <si>
    <t>Gina Carter</t>
  </si>
  <si>
    <t>Troy Liu</t>
  </si>
  <si>
    <t>Pamela Romero</t>
  </si>
  <si>
    <t>Elizabeth Fowler</t>
  </si>
  <si>
    <t>James Martin</t>
  </si>
  <si>
    <t>Tamara George</t>
  </si>
  <si>
    <t>Timothy Koch</t>
  </si>
  <si>
    <t>Cynthia Allen</t>
  </si>
  <si>
    <t>Angelica Tucker</t>
  </si>
  <si>
    <t>Kim Martinez</t>
  </si>
  <si>
    <t>Joshua Baker</t>
  </si>
  <si>
    <t>Tracey Hickman</t>
  </si>
  <si>
    <t>Christina Collins</t>
  </si>
  <si>
    <t>Jessica Holmes</t>
  </si>
  <si>
    <t>Austin Smith</t>
  </si>
  <si>
    <t>Daniel Jones</t>
  </si>
  <si>
    <t>David Caldwell</t>
  </si>
  <si>
    <t>Miranda Khan</t>
  </si>
  <si>
    <t>Richard Aguirre</t>
  </si>
  <si>
    <t>Matthew Gomez</t>
  </si>
  <si>
    <t>Nicholas Nunez</t>
  </si>
  <si>
    <t>James Morgan</t>
  </si>
  <si>
    <t>Corey Herrera</t>
  </si>
  <si>
    <t>Donald Wright</t>
  </si>
  <si>
    <t>Robert Chase</t>
  </si>
  <si>
    <t>Zachary Huff</t>
  </si>
  <si>
    <t>Sarah Martin</t>
  </si>
  <si>
    <t>Dr. Steven Martin</t>
  </si>
  <si>
    <t>Mrs. Rachel Gibson</t>
  </si>
  <si>
    <t>Monica Logan</t>
  </si>
  <si>
    <t>Brittney Phillips</t>
  </si>
  <si>
    <t>Kimberly Adkins</t>
  </si>
  <si>
    <t>John Calhoun</t>
  </si>
  <si>
    <t>Tyler Miller</t>
  </si>
  <si>
    <t>Barry Hensley</t>
  </si>
  <si>
    <t>Steve Sanchez</t>
  </si>
  <si>
    <t>Bradley Sandoval</t>
  </si>
  <si>
    <t>Taylor Harris</t>
  </si>
  <si>
    <t>Derek Anderson</t>
  </si>
  <si>
    <t>Eugene Walton</t>
  </si>
  <si>
    <t>Marc Hart</t>
  </si>
  <si>
    <t>Daniel Baker</t>
  </si>
  <si>
    <t>Benjamin Sanchez</t>
  </si>
  <si>
    <t>Dr. Kendra Contreras</t>
  </si>
  <si>
    <t>Matthew Mcmillan</t>
  </si>
  <si>
    <t>Steve Newton</t>
  </si>
  <si>
    <t>Sarah Davis</t>
  </si>
  <si>
    <t>Amanda Cook</t>
  </si>
  <si>
    <t>Deborah Figueroa</t>
  </si>
  <si>
    <t>Kristina Rodriguez</t>
  </si>
  <si>
    <t>Brittany Johnson</t>
  </si>
  <si>
    <t>Brittany Anderson</t>
  </si>
  <si>
    <t>Timothy Stanton</t>
  </si>
  <si>
    <t>Christine Wright</t>
  </si>
  <si>
    <t>Justin Baxter</t>
  </si>
  <si>
    <t>Tammy Young</t>
  </si>
  <si>
    <t>Rita Keith</t>
  </si>
  <si>
    <t>Tim Patton</t>
  </si>
  <si>
    <t>Sharon Cochran</t>
  </si>
  <si>
    <t>Michael Reyes</t>
  </si>
  <si>
    <t>Courtney Velasquez</t>
  </si>
  <si>
    <t>Robert Savage</t>
  </si>
  <si>
    <t>Corey Murphy</t>
  </si>
  <si>
    <t>Raymond Bell</t>
  </si>
  <si>
    <t>William Herrera</t>
  </si>
  <si>
    <t>Shawn Green</t>
  </si>
  <si>
    <t>Deborah Rodriguez</t>
  </si>
  <si>
    <t>Richard Graham</t>
  </si>
  <si>
    <t>Steven Lee</t>
  </si>
  <si>
    <t>April Frost</t>
  </si>
  <si>
    <t>Teresa Mclaughlin</t>
  </si>
  <si>
    <t>Benjamin Beck</t>
  </si>
  <si>
    <t>Mary Martinez</t>
  </si>
  <si>
    <t>Eric Ortiz</t>
  </si>
  <si>
    <t>Kristen Lee</t>
  </si>
  <si>
    <t>Megan Orr</t>
  </si>
  <si>
    <t>Jennifer Bass</t>
  </si>
  <si>
    <t>Jeffrey Carpenter</t>
  </si>
  <si>
    <t>Jeremy Lowe</t>
  </si>
  <si>
    <t>Steven Flynn</t>
  </si>
  <si>
    <t>Diane Beck</t>
  </si>
  <si>
    <t>Robert Potter</t>
  </si>
  <si>
    <t>Robert Hernandez</t>
  </si>
  <si>
    <t>John Atkinson</t>
  </si>
  <si>
    <t>Stephen Johnston</t>
  </si>
  <si>
    <t>Kathleen Sanchez</t>
  </si>
  <si>
    <t>Stephanie Dalton</t>
  </si>
  <si>
    <t>Jeffery Thompson</t>
  </si>
  <si>
    <t>Amber Wright</t>
  </si>
  <si>
    <t>Casey Marshall</t>
  </si>
  <si>
    <t>Linda Dodson DVM</t>
  </si>
  <si>
    <t>Stephanie Simmons</t>
  </si>
  <si>
    <t>Stephanie Manning</t>
  </si>
  <si>
    <t>Paul Larsen</t>
  </si>
  <si>
    <t>Kelly Sims</t>
  </si>
  <si>
    <t>Micheal Young</t>
  </si>
  <si>
    <t>Joshua Taylor</t>
  </si>
  <si>
    <t>Christian Lewis</t>
  </si>
  <si>
    <t>Joshua Perry</t>
  </si>
  <si>
    <t>Jean Carrillo</t>
  </si>
  <si>
    <t>Spencer Johnston</t>
  </si>
  <si>
    <t>Guy Molina</t>
  </si>
  <si>
    <t>Sara Medina</t>
  </si>
  <si>
    <t>Lindsey Walker</t>
  </si>
  <si>
    <t>John Price</t>
  </si>
  <si>
    <t>Jennifer Martin</t>
  </si>
  <si>
    <t>Veronica Ferguson</t>
  </si>
  <si>
    <t>Justin Johnson</t>
  </si>
  <si>
    <t>Sean White</t>
  </si>
  <si>
    <t>Daniel Murphy</t>
  </si>
  <si>
    <t>Diana Bean</t>
  </si>
  <si>
    <t>Bradley Smith</t>
  </si>
  <si>
    <t>Trevor Walker</t>
  </si>
  <si>
    <t>Marissa Webster</t>
  </si>
  <si>
    <t>Alex Hernandez</t>
  </si>
  <si>
    <t>Brian Gould</t>
  </si>
  <si>
    <t>Pamela Jackson</t>
  </si>
  <si>
    <t>Michelle Strickland</t>
  </si>
  <si>
    <t>Ashley Johnson</t>
  </si>
  <si>
    <t>Susan Brooks</t>
  </si>
  <si>
    <t>Angela Vaughn</t>
  </si>
  <si>
    <t>Michael Turner</t>
  </si>
  <si>
    <t>Barbara Riggs</t>
  </si>
  <si>
    <t>Joseph Stanley</t>
  </si>
  <si>
    <t>Gloria Atkinson</t>
  </si>
  <si>
    <t>Jeffrey Cox PhD</t>
  </si>
  <si>
    <t>Jessica Gross</t>
  </si>
  <si>
    <t>Robert Medina</t>
  </si>
  <si>
    <t>Roger Vargas</t>
  </si>
  <si>
    <t>Sandra Miller</t>
  </si>
  <si>
    <t>Paul Hudson</t>
  </si>
  <si>
    <t>Allen Rosales</t>
  </si>
  <si>
    <t>Mr. David Ramirez</t>
  </si>
  <si>
    <t>Desiree Smith</t>
  </si>
  <si>
    <t>Nathan Freeman</t>
  </si>
  <si>
    <t>John Joseph</t>
  </si>
  <si>
    <t>Anna Walker</t>
  </si>
  <si>
    <t>Matthew Wood</t>
  </si>
  <si>
    <t>Jessica Reese</t>
  </si>
  <si>
    <t>Jesse Parker</t>
  </si>
  <si>
    <t>Corey Wilson</t>
  </si>
  <si>
    <t>Melissa Lee</t>
  </si>
  <si>
    <t>Dr. William Warren</t>
  </si>
  <si>
    <t>Dr. Elizabeth Ward</t>
  </si>
  <si>
    <t>Joseph Hill</t>
  </si>
  <si>
    <t>Melissa Martinez</t>
  </si>
  <si>
    <t>Ashley Smith</t>
  </si>
  <si>
    <t>Jeremiah Lopez</t>
  </si>
  <si>
    <t>Scott Wilson</t>
  </si>
  <si>
    <t>Benjamin Soto</t>
  </si>
  <si>
    <t>Robert Avery</t>
  </si>
  <si>
    <t>Bailey Duran DDS</t>
  </si>
  <si>
    <t>Patricia James</t>
  </si>
  <si>
    <t>Scott Branch</t>
  </si>
  <si>
    <t>Amy Choi</t>
  </si>
  <si>
    <t>Christine Clark</t>
  </si>
  <si>
    <t>David Arnold</t>
  </si>
  <si>
    <t>Jerry Wheeler</t>
  </si>
  <si>
    <t>Dwayne Campbell</t>
  </si>
  <si>
    <t>Michael Bradshaw</t>
  </si>
  <si>
    <t>Leah Lara</t>
  </si>
  <si>
    <t>Joshua Holland</t>
  </si>
  <si>
    <t>Charles Brown</t>
  </si>
  <si>
    <t>Paul Carroll</t>
  </si>
  <si>
    <t>John Torres</t>
  </si>
  <si>
    <t>Kathryn Snyder</t>
  </si>
  <si>
    <t>Stacy Navarro</t>
  </si>
  <si>
    <t>Brandon Hayden</t>
  </si>
  <si>
    <t>Laurie Smith</t>
  </si>
  <si>
    <t>Debra Williams</t>
  </si>
  <si>
    <t>Joseph Ramos</t>
  </si>
  <si>
    <t>Kevin Walters</t>
  </si>
  <si>
    <t>Julie Ortiz</t>
  </si>
  <si>
    <t>Shannon Rivera</t>
  </si>
  <si>
    <t>Matthew Morales DDS</t>
  </si>
  <si>
    <t>Ernest Morris</t>
  </si>
  <si>
    <t>Jose Travis</t>
  </si>
  <si>
    <t>Peter Garrett</t>
  </si>
  <si>
    <t>Michael Martinez</t>
  </si>
  <si>
    <t>Cynthia Moore</t>
  </si>
  <si>
    <t>Jason Walker</t>
  </si>
  <si>
    <t>Julia Wilson</t>
  </si>
  <si>
    <t>Timothy Carter</t>
  </si>
  <si>
    <t>Ruben Baird</t>
  </si>
  <si>
    <t>Charles Lee</t>
  </si>
  <si>
    <t>Sherry Shields</t>
  </si>
  <si>
    <t>Sarah Morgan</t>
  </si>
  <si>
    <t>Samantha Campbell</t>
  </si>
  <si>
    <t>Lauren Keller</t>
  </si>
  <si>
    <t>Jamie Cantu</t>
  </si>
  <si>
    <t>Michael Armstrong</t>
  </si>
  <si>
    <t>Jennifer Flores</t>
  </si>
  <si>
    <t>Marissa Hernandez</t>
  </si>
  <si>
    <t>Vincent Rivera</t>
  </si>
  <si>
    <t>Jessica Fox</t>
  </si>
  <si>
    <t>Charles Pitts</t>
  </si>
  <si>
    <t>Richard Baker</t>
  </si>
  <si>
    <t>Marie Christian</t>
  </si>
  <si>
    <t>Kimberly Finley</t>
  </si>
  <si>
    <t>Olivia Brennan</t>
  </si>
  <si>
    <t>Cynthia Cohen</t>
  </si>
  <si>
    <t>Nicole Hamilton MD</t>
  </si>
  <si>
    <t>Ashlee Jackson</t>
  </si>
  <si>
    <t>Amber Flynn</t>
  </si>
  <si>
    <t>Jeffrey Sanchez</t>
  </si>
  <si>
    <t>Rebecca Jackson</t>
  </si>
  <si>
    <t>Janet Vega</t>
  </si>
  <si>
    <t>Briana Murray</t>
  </si>
  <si>
    <t>Michael Nolan</t>
  </si>
  <si>
    <t>Megan Moore</t>
  </si>
  <si>
    <t>Victoria Evans</t>
  </si>
  <si>
    <t>Joyce Turner</t>
  </si>
  <si>
    <t>Ashley James</t>
  </si>
  <si>
    <t>Wendy Phillips</t>
  </si>
  <si>
    <t>Denise Knight</t>
  </si>
  <si>
    <t>Valerie Lozano</t>
  </si>
  <si>
    <t>Tanner Mitchell DDS</t>
  </si>
  <si>
    <t>Colleen Lee</t>
  </si>
  <si>
    <t>Michelle Hopkins</t>
  </si>
  <si>
    <t>Brent Burton</t>
  </si>
  <si>
    <t>Jeremiah Riley</t>
  </si>
  <si>
    <t>Theodore Murphy</t>
  </si>
  <si>
    <t>Carlos Ryan</t>
  </si>
  <si>
    <t>Susan Rivas</t>
  </si>
  <si>
    <t>Terry Coffey</t>
  </si>
  <si>
    <t>Gina Wilson</t>
  </si>
  <si>
    <t>Vincent Dalton</t>
  </si>
  <si>
    <t>Jennifer Singleton</t>
  </si>
  <si>
    <t>Richard Smith</t>
  </si>
  <si>
    <t>Jacob Curry</t>
  </si>
  <si>
    <t>Samantha Bentley</t>
  </si>
  <si>
    <t>Kaitlyn Harvey</t>
  </si>
  <si>
    <t>Leonard Holland</t>
  </si>
  <si>
    <t>Susan Turner</t>
  </si>
  <si>
    <t>Andrew Johnson</t>
  </si>
  <si>
    <t>David Medina</t>
  </si>
  <si>
    <t>Michael Paul</t>
  </si>
  <si>
    <t>Patrick Moore</t>
  </si>
  <si>
    <t>Amanda Wood</t>
  </si>
  <si>
    <t>David Cox</t>
  </si>
  <si>
    <t>Colton Martinez</t>
  </si>
  <si>
    <t>Anna Lewis</t>
  </si>
  <si>
    <t>Alison Buchanan</t>
  </si>
  <si>
    <t>Rachel Harris DVM</t>
  </si>
  <si>
    <t>Daniel Kane</t>
  </si>
  <si>
    <t>Rachel Carlson</t>
  </si>
  <si>
    <t>Brianna Anderson</t>
  </si>
  <si>
    <t>Ashley Delacruz</t>
  </si>
  <si>
    <t>Richard Young</t>
  </si>
  <si>
    <t>Derek Martinez</t>
  </si>
  <si>
    <t>Nichole Alvarez</t>
  </si>
  <si>
    <t>Kevin Hayes</t>
  </si>
  <si>
    <t>Amanda Logan</t>
  </si>
  <si>
    <t>Elizabeth Schneider</t>
  </si>
  <si>
    <t>John Morales</t>
  </si>
  <si>
    <t>Micheal Wallace</t>
  </si>
  <si>
    <t>Lee Jones</t>
  </si>
  <si>
    <t>Lauren Joseph</t>
  </si>
  <si>
    <t>Kerry Chavez DDS</t>
  </si>
  <si>
    <t>Ashley Pena</t>
  </si>
  <si>
    <t>Michelle Lewis</t>
  </si>
  <si>
    <t>Jennifer Wilcox</t>
  </si>
  <si>
    <t>Brandon Simmons</t>
  </si>
  <si>
    <t>Troy Mcdaniel</t>
  </si>
  <si>
    <t>Ronald Davis</t>
  </si>
  <si>
    <t>Jacqueline Anderson</t>
  </si>
  <si>
    <t>Kristina Rivera</t>
  </si>
  <si>
    <t>Shane Pugh</t>
  </si>
  <si>
    <t>Michelle Schmitt</t>
  </si>
  <si>
    <t>Brian Romero</t>
  </si>
  <si>
    <t>Courtney Rodriguez</t>
  </si>
  <si>
    <t>Ashley Ramirez</t>
  </si>
  <si>
    <t>Sarah Villegas</t>
  </si>
  <si>
    <t>Megan Hawkins</t>
  </si>
  <si>
    <t>Phillip Dorsey</t>
  </si>
  <si>
    <t>Sergio Knight</t>
  </si>
  <si>
    <t>Patrick Bonilla</t>
  </si>
  <si>
    <t>Cindy Barnes</t>
  </si>
  <si>
    <t>Eric Nguyen</t>
  </si>
  <si>
    <t>Angela Williams</t>
  </si>
  <si>
    <t>Amber Miller</t>
  </si>
  <si>
    <t>Karla Ramos</t>
  </si>
  <si>
    <t>Jose Reed</t>
  </si>
  <si>
    <t>Michael Tucker</t>
  </si>
  <si>
    <t>Daniel Joyce</t>
  </si>
  <si>
    <t>Eric Clark</t>
  </si>
  <si>
    <t>Donna Wilson</t>
  </si>
  <si>
    <t>Casey James</t>
  </si>
  <si>
    <t>Justin Barnett</t>
  </si>
  <si>
    <t>Scott Williams</t>
  </si>
  <si>
    <t>Blake Edwards</t>
  </si>
  <si>
    <t>Michelle Butler</t>
  </si>
  <si>
    <t>Vincent Jackson</t>
  </si>
  <si>
    <t>Michael Cox</t>
  </si>
  <si>
    <t>Dana Chapman</t>
  </si>
  <si>
    <t>Seth Reese</t>
  </si>
  <si>
    <t>Christopher Dixon</t>
  </si>
  <si>
    <t>Cheyenne Parsons</t>
  </si>
  <si>
    <t>Sabrina Briggs</t>
  </si>
  <si>
    <t>David Thompson</t>
  </si>
  <si>
    <t>Mary Thompson</t>
  </si>
  <si>
    <t>Julie Elliott</t>
  </si>
  <si>
    <t>Thomas Cunningham</t>
  </si>
  <si>
    <t>Mrs. Tricia Stewart</t>
  </si>
  <si>
    <t>Jeremy Turner</t>
  </si>
  <si>
    <t>Heather Jones</t>
  </si>
  <si>
    <t>Anthony Decker</t>
  </si>
  <si>
    <t>Vanessa Davis</t>
  </si>
  <si>
    <t>Julie Spencer</t>
  </si>
  <si>
    <t>Amanda Stout</t>
  </si>
  <si>
    <t>Erica Alvarez</t>
  </si>
  <si>
    <t>Joanna Shepherd</t>
  </si>
  <si>
    <t>Miguel Wagner</t>
  </si>
  <si>
    <t>Michael Ritter</t>
  </si>
  <si>
    <t>Caitlin Watson</t>
  </si>
  <si>
    <t>Raymond Shelton</t>
  </si>
  <si>
    <t>Maria Jones</t>
  </si>
  <si>
    <t>Jasmine King</t>
  </si>
  <si>
    <t>Susan Marks</t>
  </si>
  <si>
    <t>Matthew Rangel</t>
  </si>
  <si>
    <t>Melissa Myers</t>
  </si>
  <si>
    <t>Angela Hansen</t>
  </si>
  <si>
    <t>Robin Santiago</t>
  </si>
  <si>
    <t>Yolanda Gaines</t>
  </si>
  <si>
    <t>Jessica Cox</t>
  </si>
  <si>
    <t>Trevor Peterson</t>
  </si>
  <si>
    <t>Mr. Chad Jones</t>
  </si>
  <si>
    <t>Katie Fernandez</t>
  </si>
  <si>
    <t>Amanda Rogers</t>
  </si>
  <si>
    <t>Linda Moore</t>
  </si>
  <si>
    <t>Patricia Lamb</t>
  </si>
  <si>
    <t>Amanda Diaz</t>
  </si>
  <si>
    <t>Jeremy Mitchell</t>
  </si>
  <si>
    <t>Stephanie Lee</t>
  </si>
  <si>
    <t>Victoria Murray</t>
  </si>
  <si>
    <t>Kathryn Barnes</t>
  </si>
  <si>
    <t>Rebecca Taylor</t>
  </si>
  <si>
    <t>John Watson</t>
  </si>
  <si>
    <t>Ryan Rosales</t>
  </si>
  <si>
    <t>Christopher Cole</t>
  </si>
  <si>
    <t>Jeffrey Potts</t>
  </si>
  <si>
    <t>Stacey Arias</t>
  </si>
  <si>
    <t>Jonathan Young</t>
  </si>
  <si>
    <t>Alfred Galvan</t>
  </si>
  <si>
    <t>Gabriela Thomas</t>
  </si>
  <si>
    <t>Ronald Horton</t>
  </si>
  <si>
    <t>Julie Gilbert</t>
  </si>
  <si>
    <t>David Conley</t>
  </si>
  <si>
    <t>Lisa Henderson</t>
  </si>
  <si>
    <t>Eric Williams</t>
  </si>
  <si>
    <t>Lisa Brown</t>
  </si>
  <si>
    <t>Linda Smith</t>
  </si>
  <si>
    <t>Michelle Carter</t>
  </si>
  <si>
    <t>Cynthia Butler</t>
  </si>
  <si>
    <t>Kelly Ward</t>
  </si>
  <si>
    <t>Rachel Romero</t>
  </si>
  <si>
    <t>John Reid</t>
  </si>
  <si>
    <t>Alan Kramer</t>
  </si>
  <si>
    <t>Matthew Garcia</t>
  </si>
  <si>
    <t>Evelyn Williams</t>
  </si>
  <si>
    <t>Marvin Greer</t>
  </si>
  <si>
    <t>Michael Welch</t>
  </si>
  <si>
    <t>Mike Acevedo</t>
  </si>
  <si>
    <t>Andrew Gonzalez</t>
  </si>
  <si>
    <t>Eric Sanders</t>
  </si>
  <si>
    <t>Dawn Mullins</t>
  </si>
  <si>
    <t>Caleb Richardson</t>
  </si>
  <si>
    <t>Jeremiah Huber</t>
  </si>
  <si>
    <t>Kathleen Jimenez</t>
  </si>
  <si>
    <t>Debra Miller</t>
  </si>
  <si>
    <t>Lance Short</t>
  </si>
  <si>
    <t>Brian Murphy</t>
  </si>
  <si>
    <t>Lance Simmons</t>
  </si>
  <si>
    <t>Jeremy Acosta</t>
  </si>
  <si>
    <t>Zachary Hill</t>
  </si>
  <si>
    <t>Angela Walsh</t>
  </si>
  <si>
    <t>Nicole Moore</t>
  </si>
  <si>
    <t>Lawrence Harrington</t>
  </si>
  <si>
    <t>David Brewer</t>
  </si>
  <si>
    <t>Keith Jacobs</t>
  </si>
  <si>
    <t>Jacob Wallace</t>
  </si>
  <si>
    <t>Kendra Sanders</t>
  </si>
  <si>
    <t>Tyler Johnson</t>
  </si>
  <si>
    <t>Mr. Justin Green III</t>
  </si>
  <si>
    <t>Logan Benson</t>
  </si>
  <si>
    <t>Chad Jones</t>
  </si>
  <si>
    <t>Jill Miller</t>
  </si>
  <si>
    <t>Victoria Contreras</t>
  </si>
  <si>
    <t>Joshua Vance</t>
  </si>
  <si>
    <t>Michael Graves</t>
  </si>
  <si>
    <t>Katie Martinez</t>
  </si>
  <si>
    <t>Cynthia Snyder</t>
  </si>
  <si>
    <t>Jackie Lara</t>
  </si>
  <si>
    <t>Stephen Jones</t>
  </si>
  <si>
    <t>Dr. Kelly Hammond DVM</t>
  </si>
  <si>
    <t>Evan Jones</t>
  </si>
  <si>
    <t>Haley Humphrey</t>
  </si>
  <si>
    <t>Laurie Saunders</t>
  </si>
  <si>
    <t>Thomas Brown</t>
  </si>
  <si>
    <t>Hannah Everett</t>
  </si>
  <si>
    <t>Blake Gonzalez</t>
  </si>
  <si>
    <t>Mario Mendez</t>
  </si>
  <si>
    <t>Caroline David</t>
  </si>
  <si>
    <t>Marcus Winters</t>
  </si>
  <si>
    <t>Kristy Bryan</t>
  </si>
  <si>
    <t>Travis Wise</t>
  </si>
  <si>
    <t>Pamela Butler</t>
  </si>
  <si>
    <t>Stephen Gardner</t>
  </si>
  <si>
    <t>Karen Ballard</t>
  </si>
  <si>
    <t>Jesse Barker</t>
  </si>
  <si>
    <t>John Harris</t>
  </si>
  <si>
    <t>Scott Flores</t>
  </si>
  <si>
    <t>James Hodges</t>
  </si>
  <si>
    <t>Emma Owens</t>
  </si>
  <si>
    <t>Charles Williams</t>
  </si>
  <si>
    <t>Jennifer Estes</t>
  </si>
  <si>
    <t>Garrett Lane</t>
  </si>
  <si>
    <t>Christopher Ferrell</t>
  </si>
  <si>
    <t>Mr. Alexander Landry MD</t>
  </si>
  <si>
    <t>Harry Williams</t>
  </si>
  <si>
    <t>Sarah Chambers</t>
  </si>
  <si>
    <t>Sarah Jordan</t>
  </si>
  <si>
    <t>Jacob Powell</t>
  </si>
  <si>
    <t>Kelly Lee</t>
  </si>
  <si>
    <t>James Cole</t>
  </si>
  <si>
    <t>William Becker</t>
  </si>
  <si>
    <t>Brent Brooks</t>
  </si>
  <si>
    <t>Holly Thomas</t>
  </si>
  <si>
    <t>Kathryn Williams</t>
  </si>
  <si>
    <t>Regina Stone</t>
  </si>
  <si>
    <t>Kaylee Murphy</t>
  </si>
  <si>
    <t>James Jensen</t>
  </si>
  <si>
    <t>George Clayton</t>
  </si>
  <si>
    <t>Justin Wells Jr.</t>
  </si>
  <si>
    <t>Veronica Silva</t>
  </si>
  <si>
    <t>Shelby Soto</t>
  </si>
  <si>
    <t>Walter Patton</t>
  </si>
  <si>
    <t>Crystal Williams</t>
  </si>
  <si>
    <t>Mark Harvey</t>
  </si>
  <si>
    <t>Roberto Allen</t>
  </si>
  <si>
    <t>Jason Harris</t>
  </si>
  <si>
    <t>Tami Salas</t>
  </si>
  <si>
    <t>Michele Stone</t>
  </si>
  <si>
    <t>Matthew Fox</t>
  </si>
  <si>
    <t>Julia Patel</t>
  </si>
  <si>
    <t>Raymond Le</t>
  </si>
  <si>
    <t>Deborah Washington</t>
  </si>
  <si>
    <t>Edwin David</t>
  </si>
  <si>
    <t>Michele Vaughn</t>
  </si>
  <si>
    <t>Gregory Peck</t>
  </si>
  <si>
    <t>Donna Berry</t>
  </si>
  <si>
    <t>William Cardenas</t>
  </si>
  <si>
    <t>Donna Roberts</t>
  </si>
  <si>
    <t>Thomas Douglas</t>
  </si>
  <si>
    <t>Dale Ryan</t>
  </si>
  <si>
    <t>Denise Rodriguez</t>
  </si>
  <si>
    <t>Dana Santiago</t>
  </si>
  <si>
    <t>David Garcia</t>
  </si>
  <si>
    <t>Ashlee Townsend</t>
  </si>
  <si>
    <t>Vanessa Moore</t>
  </si>
  <si>
    <t>Sherry Woods</t>
  </si>
  <si>
    <t>Donna Mitchell</t>
  </si>
  <si>
    <t>Ann Andrews</t>
  </si>
  <si>
    <t>Sarah Johnson</t>
  </si>
  <si>
    <t>Stephen Thompson</t>
  </si>
  <si>
    <t>Russell French</t>
  </si>
  <si>
    <t>Tonya Howe</t>
  </si>
  <si>
    <t>Edwin Morrison</t>
  </si>
  <si>
    <t>Mrs. Virginia Daniels</t>
  </si>
  <si>
    <t>Brandi Gordon</t>
  </si>
  <si>
    <t>Brian Martin</t>
  </si>
  <si>
    <t>Michelle Smith</t>
  </si>
  <si>
    <t>Laura Todd</t>
  </si>
  <si>
    <t>Margaret Sullivan</t>
  </si>
  <si>
    <t>Angie Caldwell</t>
  </si>
  <si>
    <t>Mrs. Taylor Smith</t>
  </si>
  <si>
    <t>Paul Finley</t>
  </si>
  <si>
    <t>Amy Wilson</t>
  </si>
  <si>
    <t>Michael Leblanc</t>
  </si>
  <si>
    <t>Emily Wilson</t>
  </si>
  <si>
    <t>Holly Walker</t>
  </si>
  <si>
    <t>Jesse Zhang</t>
  </si>
  <si>
    <t>Joshua Ruiz</t>
  </si>
  <si>
    <t>Samantha Gill</t>
  </si>
  <si>
    <t>Shelley Miller</t>
  </si>
  <si>
    <t>Heidi Stark</t>
  </si>
  <si>
    <t>Joshua Wagner</t>
  </si>
  <si>
    <t>Carmen Bond</t>
  </si>
  <si>
    <t>Daniel Aguilar</t>
  </si>
  <si>
    <t>Jill Brown</t>
  </si>
  <si>
    <t>Joyce Brown</t>
  </si>
  <si>
    <t>Elizabeth Johnson</t>
  </si>
  <si>
    <t>Nichole Lane</t>
  </si>
  <si>
    <t>Michael Weaver</t>
  </si>
  <si>
    <t>Andrea Peck</t>
  </si>
  <si>
    <t>Christopher Taylor</t>
  </si>
  <si>
    <t>Sergio Knox</t>
  </si>
  <si>
    <t>Victor Baxter</t>
  </si>
  <si>
    <t>Hannah White</t>
  </si>
  <si>
    <t>Cameron Irwin</t>
  </si>
  <si>
    <t>Alexander Evans</t>
  </si>
  <si>
    <t>Jessica Gray</t>
  </si>
  <si>
    <t>Gregory Hill</t>
  </si>
  <si>
    <t>Pamela Johnson</t>
  </si>
  <si>
    <t>Ralph Stephenson</t>
  </si>
  <si>
    <t>Austin Wheeler</t>
  </si>
  <si>
    <t>Jeffrey Fernandez</t>
  </si>
  <si>
    <t>Amy Gordon</t>
  </si>
  <si>
    <t>Thomas Johnston</t>
  </si>
  <si>
    <t>Megan Flores</t>
  </si>
  <si>
    <t>Victoria Boyd</t>
  </si>
  <si>
    <t>Antonio Fry</t>
  </si>
  <si>
    <t>Casey Shelton</t>
  </si>
  <si>
    <t>William David DDS</t>
  </si>
  <si>
    <t>Melissa Russell</t>
  </si>
  <si>
    <t>Paul Wells</t>
  </si>
  <si>
    <t>Scott Thomas</t>
  </si>
  <si>
    <t>Kristina Faulkner</t>
  </si>
  <si>
    <t>Jasmine Scott</t>
  </si>
  <si>
    <t>Tammy Boone</t>
  </si>
  <si>
    <t>Sandra Williams</t>
  </si>
  <si>
    <t>Lindsey Russo</t>
  </si>
  <si>
    <t>Laurie Powers</t>
  </si>
  <si>
    <t>Sean Cook</t>
  </si>
  <si>
    <t>Timothy Hayden</t>
  </si>
  <si>
    <t>Nicole Rocha</t>
  </si>
  <si>
    <t>Christine Herman</t>
  </si>
  <si>
    <t>Douglas Owens</t>
  </si>
  <si>
    <t>Dennis Hunt</t>
  </si>
  <si>
    <t>Robert Bowen</t>
  </si>
  <si>
    <t>Suzanne Wood</t>
  </si>
  <si>
    <t>Sean Figueroa</t>
  </si>
  <si>
    <t>Timothy Riley</t>
  </si>
  <si>
    <t>Craig Hall</t>
  </si>
  <si>
    <t>Kathryn Pena</t>
  </si>
  <si>
    <t>Phillip Burns</t>
  </si>
  <si>
    <t>Katherine Jackson</t>
  </si>
  <si>
    <t>Charles Payne</t>
  </si>
  <si>
    <t>Kimberly May</t>
  </si>
  <si>
    <t>Sara Jones</t>
  </si>
  <si>
    <t>Pamela Gutierrez</t>
  </si>
  <si>
    <t>Andrea Hernandez</t>
  </si>
  <si>
    <t>Jacqueline Williamson</t>
  </si>
  <si>
    <t>Susan Hopkins</t>
  </si>
  <si>
    <t>Juan Smith</t>
  </si>
  <si>
    <t>Kimberly Mitchell</t>
  </si>
  <si>
    <t>Megan Drake</t>
  </si>
  <si>
    <t>Thomas Warren</t>
  </si>
  <si>
    <t>Joseph Ochoa</t>
  </si>
  <si>
    <t>Angela Chung</t>
  </si>
  <si>
    <t>Wanda Perez</t>
  </si>
  <si>
    <t>Angela Frey</t>
  </si>
  <si>
    <t>Anna Gray</t>
  </si>
  <si>
    <t>Mark Warner</t>
  </si>
  <si>
    <t>Mr. Richard Knight PhD</t>
  </si>
  <si>
    <t>Tamara Hall</t>
  </si>
  <si>
    <t>Stacy Alvarez</t>
  </si>
  <si>
    <t>Melinda Ramirez</t>
  </si>
  <si>
    <t>Amanda Mcfarland</t>
  </si>
  <si>
    <t>Daniel Thomas</t>
  </si>
  <si>
    <t>Jennifer Jones</t>
  </si>
  <si>
    <t>Lacey Atkinson</t>
  </si>
  <si>
    <t>Evelyn Campos</t>
  </si>
  <si>
    <t>Melissa Miller</t>
  </si>
  <si>
    <t>Amy Kim</t>
  </si>
  <si>
    <t>Larry Austin</t>
  </si>
  <si>
    <t>Raymond Johnson</t>
  </si>
  <si>
    <t>Joanne Perez</t>
  </si>
  <si>
    <t>Jessica Frazier</t>
  </si>
  <si>
    <t>Raymond Phillips</t>
  </si>
  <si>
    <t>Angela Moore</t>
  </si>
  <si>
    <t>Brittany Price</t>
  </si>
  <si>
    <t>Aaron Parker</t>
  </si>
  <si>
    <t>Ashley Miller</t>
  </si>
  <si>
    <t>Justin Russell</t>
  </si>
  <si>
    <t>Julian Carlson</t>
  </si>
  <si>
    <t>James Carter</t>
  </si>
  <si>
    <t>Misty Hansen</t>
  </si>
  <si>
    <t>Carolyn James</t>
  </si>
  <si>
    <t>Derrick Thomas</t>
  </si>
  <si>
    <t>Jason Washington</t>
  </si>
  <si>
    <t>Tony Le</t>
  </si>
  <si>
    <t>Christina Rodriguez</t>
  </si>
  <si>
    <t>James Skinner</t>
  </si>
  <si>
    <t>Erin Cook</t>
  </si>
  <si>
    <t>Marilyn Wheeler</t>
  </si>
  <si>
    <t>Travis Harris</t>
  </si>
  <si>
    <t>James Flores</t>
  </si>
  <si>
    <t>Katherine Johnston</t>
  </si>
  <si>
    <t>Douglas Hartman</t>
  </si>
  <si>
    <t>Justin Vargas</t>
  </si>
  <si>
    <t>Randall Johnson</t>
  </si>
  <si>
    <t>Michael Gonzales</t>
  </si>
  <si>
    <t>Andrea Abbott</t>
  </si>
  <si>
    <t>Jonathan Schultz</t>
  </si>
  <si>
    <t>Christian Henderson</t>
  </si>
  <si>
    <t>William Mendoza</t>
  </si>
  <si>
    <t>Tammy Kane</t>
  </si>
  <si>
    <t>Rachel Ward</t>
  </si>
  <si>
    <t>Linda Rocha</t>
  </si>
  <si>
    <t>Mary Kelly</t>
  </si>
  <si>
    <t>Kristine Newman</t>
  </si>
  <si>
    <t>Paul Sheppard</t>
  </si>
  <si>
    <t>Brett Walker</t>
  </si>
  <si>
    <t>Lauren Johnston</t>
  </si>
  <si>
    <t>Joel Frazier</t>
  </si>
  <si>
    <t>Haley Johnson</t>
  </si>
  <si>
    <t>Thomas Miller</t>
  </si>
  <si>
    <t>Brenda Collins</t>
  </si>
  <si>
    <t>Kelly Bailey</t>
  </si>
  <si>
    <t>Michael Flores</t>
  </si>
  <si>
    <t>Michael Johnson</t>
  </si>
  <si>
    <t>Megan Martin</t>
  </si>
  <si>
    <t>Christopher Moore</t>
  </si>
  <si>
    <t>Joel Salinas</t>
  </si>
  <si>
    <t>Martin Reynolds</t>
  </si>
  <si>
    <t>Sonya Cole</t>
  </si>
  <si>
    <t>Michael Harris</t>
  </si>
  <si>
    <t>Rebecca Ray</t>
  </si>
  <si>
    <t>Chelsea Nguyen</t>
  </si>
  <si>
    <t>Michael Burns</t>
  </si>
  <si>
    <t>James Long</t>
  </si>
  <si>
    <t>Ryan Williamson</t>
  </si>
  <si>
    <t>Rebecca Sellers</t>
  </si>
  <si>
    <t>Cesar Wilson</t>
  </si>
  <si>
    <t>James Thomas</t>
  </si>
  <si>
    <t>Chad Reyes</t>
  </si>
  <si>
    <t>Mr. Thomas Arias</t>
  </si>
  <si>
    <t>Katherine Taylor</t>
  </si>
  <si>
    <t>Lisa Glenn</t>
  </si>
  <si>
    <t>Mr. James Hoffman</t>
  </si>
  <si>
    <t>Michael Perry PhD</t>
  </si>
  <si>
    <t>Keith Flynn</t>
  </si>
  <si>
    <t>Donald Medina</t>
  </si>
  <si>
    <t>Krystal Barton</t>
  </si>
  <si>
    <t>Ashley Wilson</t>
  </si>
  <si>
    <t>Wendy Weaver</t>
  </si>
  <si>
    <t>Nathan Payne</t>
  </si>
  <si>
    <t>Ronald Potter</t>
  </si>
  <si>
    <t>Amanda Baker</t>
  </si>
  <si>
    <t>Jessica Mcknight</t>
  </si>
  <si>
    <t>Christine Rojas</t>
  </si>
  <si>
    <t>Michael Chen</t>
  </si>
  <si>
    <t>Rachel Li</t>
  </si>
  <si>
    <t>Gregory Campbell</t>
  </si>
  <si>
    <t>William Carter</t>
  </si>
  <si>
    <t>Scott Duke</t>
  </si>
  <si>
    <t>Brandy Brady</t>
  </si>
  <si>
    <t>Wendy Camacho</t>
  </si>
  <si>
    <t>Brandi Thomas</t>
  </si>
  <si>
    <t>Pam Lowe</t>
  </si>
  <si>
    <t>Mark Burton</t>
  </si>
  <si>
    <t>Mark Beard</t>
  </si>
  <si>
    <t>Paul Neal</t>
  </si>
  <si>
    <t>Travis Murphy</t>
  </si>
  <si>
    <t>Melissa Horn</t>
  </si>
  <si>
    <t>Claudia Jordan</t>
  </si>
  <si>
    <t>Frank Campbell MD</t>
  </si>
  <si>
    <t>Karina Cooper</t>
  </si>
  <si>
    <t>Amber Sims</t>
  </si>
  <si>
    <t>Caleb Mathews</t>
  </si>
  <si>
    <t>William Patterson</t>
  </si>
  <si>
    <t>Sonia Turner</t>
  </si>
  <si>
    <t>Denise Pena</t>
  </si>
  <si>
    <t>Matthew Banks</t>
  </si>
  <si>
    <t>Eric Lyons</t>
  </si>
  <si>
    <t>Casey Perez</t>
  </si>
  <si>
    <t>Adam Cooper</t>
  </si>
  <si>
    <t>Jennifer Anderson MD</t>
  </si>
  <si>
    <t>Robert Garcia</t>
  </si>
  <si>
    <t>Breanna Ayala</t>
  </si>
  <si>
    <t>Margaret Byrd</t>
  </si>
  <si>
    <t>Alejandra Santos</t>
  </si>
  <si>
    <t>Daniel Goodman</t>
  </si>
  <si>
    <t>Michael Heath</t>
  </si>
  <si>
    <t>Brenda Martinez</t>
  </si>
  <si>
    <t>Victor Edwards</t>
  </si>
  <si>
    <t>Matthew Wright</t>
  </si>
  <si>
    <t>Lisa Maxwell</t>
  </si>
  <si>
    <t>Ryan Liu</t>
  </si>
  <si>
    <t>Katrina Adkins</t>
  </si>
  <si>
    <t>Rachel Leon</t>
  </si>
  <si>
    <t>Brian Porter MD</t>
  </si>
  <si>
    <t>Alexandria Ward</t>
  </si>
  <si>
    <t>Scott Carroll</t>
  </si>
  <si>
    <t>Kevin Smith</t>
  </si>
  <si>
    <t>Antonio Mccormick</t>
  </si>
  <si>
    <t>Micheal Wang</t>
  </si>
  <si>
    <t>Angela Herrera</t>
  </si>
  <si>
    <t>Bradley Miller</t>
  </si>
  <si>
    <t>Robert Herrera</t>
  </si>
  <si>
    <t>Pamela Santos</t>
  </si>
  <si>
    <t>Michael Blair</t>
  </si>
  <si>
    <t>David Middleton</t>
  </si>
  <si>
    <t>Lee Parker</t>
  </si>
  <si>
    <t>Casey Smith</t>
  </si>
  <si>
    <t>Carla Benton</t>
  </si>
  <si>
    <t>Samantha Green</t>
  </si>
  <si>
    <t>Richard Adams</t>
  </si>
  <si>
    <t>Steven Rogers</t>
  </si>
  <si>
    <t>Austin Joseph</t>
  </si>
  <si>
    <t>Kathleen Dixon</t>
  </si>
  <si>
    <t>Mr. Jacob Scott Jr.</t>
  </si>
  <si>
    <t>Ashley Yang</t>
  </si>
  <si>
    <t>Scott Sanchez</t>
  </si>
  <si>
    <t>Thomas White</t>
  </si>
  <si>
    <t>Robert Klein</t>
  </si>
  <si>
    <t>Frank Butler</t>
  </si>
  <si>
    <t>Roger Duncan</t>
  </si>
  <si>
    <t>Stephanie White</t>
  </si>
  <si>
    <t>Amber Morales</t>
  </si>
  <si>
    <t>Douglas Kirk</t>
  </si>
  <si>
    <t>Jesus Wood</t>
  </si>
  <si>
    <t>Elizabeth Dean</t>
  </si>
  <si>
    <t>Wesley Cuevas</t>
  </si>
  <si>
    <t>Steven Hodges</t>
  </si>
  <si>
    <t>Timothy Johnson</t>
  </si>
  <si>
    <t>Ryan Wiley</t>
  </si>
  <si>
    <t>Matthew Sweeney</t>
  </si>
  <si>
    <t>Daniel Bird</t>
  </si>
  <si>
    <t>Anthony Shea DDS</t>
  </si>
  <si>
    <t>David Bruce</t>
  </si>
  <si>
    <t>Jacqueline Villegas</t>
  </si>
  <si>
    <t>Kathy Walsh</t>
  </si>
  <si>
    <t>Keith Graham</t>
  </si>
  <si>
    <t>Dean Edwards</t>
  </si>
  <si>
    <t>Ronnie Nguyen</t>
  </si>
  <si>
    <t>Benjamin Harris</t>
  </si>
  <si>
    <t>Ashley Garcia</t>
  </si>
  <si>
    <t>Jason Herrera</t>
  </si>
  <si>
    <t>Eric Baker</t>
  </si>
  <si>
    <t>Robert Torres</t>
  </si>
  <si>
    <t>Amanda Huff</t>
  </si>
  <si>
    <t>Michael Schmitt</t>
  </si>
  <si>
    <t>Megan Green</t>
  </si>
  <si>
    <t>Jared Chavez</t>
  </si>
  <si>
    <t>Anna Garcia</t>
  </si>
  <si>
    <t>Adam Greer</t>
  </si>
  <si>
    <t>Rodney Watson</t>
  </si>
  <si>
    <t>Angela Willis</t>
  </si>
  <si>
    <t>Alison Brown</t>
  </si>
  <si>
    <t>Rhonda Davis</t>
  </si>
  <si>
    <t>Erin Williams</t>
  </si>
  <si>
    <t>Thomas Hamilton</t>
  </si>
  <si>
    <t>Allen Vega</t>
  </si>
  <si>
    <t>Terry Hill</t>
  </si>
  <si>
    <t>Amanda Harvey</t>
  </si>
  <si>
    <t>Kathleen Andrade</t>
  </si>
  <si>
    <t>Douglas Taylor</t>
  </si>
  <si>
    <t>Rebecca Wright</t>
  </si>
  <si>
    <t>Alicia Reyes</t>
  </si>
  <si>
    <t>Joshua Washington</t>
  </si>
  <si>
    <t>Erica Nelson</t>
  </si>
  <si>
    <t>Daniel Huang</t>
  </si>
  <si>
    <t>Robert Ruiz</t>
  </si>
  <si>
    <t>Yvonne Dickson</t>
  </si>
  <si>
    <t>David Ferguson</t>
  </si>
  <si>
    <t>Amy Davies</t>
  </si>
  <si>
    <t>Vickie Price</t>
  </si>
  <si>
    <t>Sarah Thompson</t>
  </si>
  <si>
    <t>Oscar Howard</t>
  </si>
  <si>
    <t>Michael Meza</t>
  </si>
  <si>
    <t>Travis Copeland</t>
  </si>
  <si>
    <t>Katherine Parker</t>
  </si>
  <si>
    <t>Anthony Guzman</t>
  </si>
  <si>
    <t>April Hardin</t>
  </si>
  <si>
    <t>Gina Thompson</t>
  </si>
  <si>
    <t>Erica Johnson</t>
  </si>
  <si>
    <t>Brenda Rodriguez</t>
  </si>
  <si>
    <t>Toni Brooks</t>
  </si>
  <si>
    <t>Laurie Rogers</t>
  </si>
  <si>
    <t>Christopher Fry</t>
  </si>
  <si>
    <t>Katelyn Stewart</t>
  </si>
  <si>
    <t>Melissa Mcfarland</t>
  </si>
  <si>
    <t>Max Olsen</t>
  </si>
  <si>
    <t>Michael Anderson</t>
  </si>
  <si>
    <t>Michael Berry</t>
  </si>
  <si>
    <t>Traci Johnson DDS</t>
  </si>
  <si>
    <t>Lisa Bowman</t>
  </si>
  <si>
    <t>Brenda Mcgee</t>
  </si>
  <si>
    <t>Francisco Fields</t>
  </si>
  <si>
    <t>Meagan Daniel</t>
  </si>
  <si>
    <t>Derek Wright</t>
  </si>
  <si>
    <t>Richard Le</t>
  </si>
  <si>
    <t>Nicholas Costa</t>
  </si>
  <si>
    <t>Stephen Bell</t>
  </si>
  <si>
    <t>John Shields</t>
  </si>
  <si>
    <t>Courtney Hayes</t>
  </si>
  <si>
    <t>Christopher Bennett</t>
  </si>
  <si>
    <t>Tom Spence</t>
  </si>
  <si>
    <t>Lisa Webb</t>
  </si>
  <si>
    <t>Matthew Lawson</t>
  </si>
  <si>
    <t>Brian Harris</t>
  </si>
  <si>
    <t>Julian Frost</t>
  </si>
  <si>
    <t>Douglas Young</t>
  </si>
  <si>
    <t>Joshua Henry</t>
  </si>
  <si>
    <t>Jeffrey Phillips</t>
  </si>
  <si>
    <t>Karen Davis</t>
  </si>
  <si>
    <t>Edgar Miller</t>
  </si>
  <si>
    <t>Richard Ruiz</t>
  </si>
  <si>
    <t>Anna Stephens</t>
  </si>
  <si>
    <t>James Lopez</t>
  </si>
  <si>
    <t>John Perez</t>
  </si>
  <si>
    <t>Brittany Horton</t>
  </si>
  <si>
    <t>Kristen Randall</t>
  </si>
  <si>
    <t>Tracie Mcdaniel</t>
  </si>
  <si>
    <t>Stephen Alvarez</t>
  </si>
  <si>
    <t>Scott Johnson</t>
  </si>
  <si>
    <t>Rebecca Byrd</t>
  </si>
  <si>
    <t>Travis Cole</t>
  </si>
  <si>
    <t>Rhonda Martinez</t>
  </si>
  <si>
    <t>Sandra Scott</t>
  </si>
  <si>
    <t>Renee Miller</t>
  </si>
  <si>
    <t>Gabriel Hill</t>
  </si>
  <si>
    <t>Alexandria Graves</t>
  </si>
  <si>
    <t>Jennifer Perry</t>
  </si>
  <si>
    <t>Lauren Hanna</t>
  </si>
  <si>
    <t>Kristine Garcia</t>
  </si>
  <si>
    <t>Sheryl Humphrey</t>
  </si>
  <si>
    <t>John Lynch</t>
  </si>
  <si>
    <t>Jamie Montgomery</t>
  </si>
  <si>
    <t>Amanda Preston</t>
  </si>
  <si>
    <t>Amber Alvarez</t>
  </si>
  <si>
    <t>Alicia Roth</t>
  </si>
  <si>
    <t>Ryan Garrison</t>
  </si>
  <si>
    <t>Sean Taylor</t>
  </si>
  <si>
    <t>Roger Adams</t>
  </si>
  <si>
    <t>Ann Alexander</t>
  </si>
  <si>
    <t>Natalie Malone</t>
  </si>
  <si>
    <t>Anthony Moody</t>
  </si>
  <si>
    <t>Jonathon Taylor</t>
  </si>
  <si>
    <t>Laura Thompson</t>
  </si>
  <si>
    <t>Sara Wright</t>
  </si>
  <si>
    <t>Isaac Gonzalez</t>
  </si>
  <si>
    <t>Kathy Reid</t>
  </si>
  <si>
    <t>Dana Burns</t>
  </si>
  <si>
    <t>Seth Matthews</t>
  </si>
  <si>
    <t>Ryan Green</t>
  </si>
  <si>
    <t>Dominique Hughes</t>
  </si>
  <si>
    <t>Penny Lewis</t>
  </si>
  <si>
    <t>Megan Adams</t>
  </si>
  <si>
    <t>Sharon Coffey</t>
  </si>
  <si>
    <t>Courtney Franklin</t>
  </si>
  <si>
    <t>Michelle Hill</t>
  </si>
  <si>
    <t>Joseph Hanson</t>
  </si>
  <si>
    <t>Jorge Bates</t>
  </si>
  <si>
    <t>Kristina Wheeler</t>
  </si>
  <si>
    <t>Brian Brown</t>
  </si>
  <si>
    <t>Shannon Green</t>
  </si>
  <si>
    <t>Marisa Lopez</t>
  </si>
  <si>
    <t>Stephanie Trujillo</t>
  </si>
  <si>
    <t>Mary Bright</t>
  </si>
  <si>
    <t>Jennifer Doyle</t>
  </si>
  <si>
    <t>Laura Lee</t>
  </si>
  <si>
    <t>Melissa Little</t>
  </si>
  <si>
    <t>Megan Romero</t>
  </si>
  <si>
    <t>Matthew Grant</t>
  </si>
  <si>
    <t>Carl Green</t>
  </si>
  <si>
    <t>Susan Arroyo</t>
  </si>
  <si>
    <t>Brandon Kelly</t>
  </si>
  <si>
    <t>Jennifer Eaton</t>
  </si>
  <si>
    <t>Edward York</t>
  </si>
  <si>
    <t>Mark Carpenter</t>
  </si>
  <si>
    <t>Steve Mason</t>
  </si>
  <si>
    <t>Kendra Gutierrez</t>
  </si>
  <si>
    <t>Brenda Gonzalez</t>
  </si>
  <si>
    <t>Dr. Victoria Thomas</t>
  </si>
  <si>
    <t>Peggy Freeman</t>
  </si>
  <si>
    <t>Mrs. Amy Hayes</t>
  </si>
  <si>
    <t>Caroline Duran</t>
  </si>
  <si>
    <t>Penny Anderson</t>
  </si>
  <si>
    <t>Jennifer Sanford</t>
  </si>
  <si>
    <t>Joseph Cross</t>
  </si>
  <si>
    <t>Nicole Schmidt</t>
  </si>
  <si>
    <t>Lori Wright</t>
  </si>
  <si>
    <t>Emily Garcia</t>
  </si>
  <si>
    <t>Carol Colon</t>
  </si>
  <si>
    <t>Joy Meyer</t>
  </si>
  <si>
    <t>Stephen Cowan</t>
  </si>
  <si>
    <t>Katherine Christensen MD</t>
  </si>
  <si>
    <t>Jennifer Perez</t>
  </si>
  <si>
    <t>Mrs. Alison Wagner</t>
  </si>
  <si>
    <t>Matthew Johnson</t>
  </si>
  <si>
    <t>Patricia Dean</t>
  </si>
  <si>
    <t>Mary Valdez MD</t>
  </si>
  <si>
    <t>Jeremy Martinez</t>
  </si>
  <si>
    <t>Christian Neal</t>
  </si>
  <si>
    <t>Jason Garcia</t>
  </si>
  <si>
    <t>Larry Taylor</t>
  </si>
  <si>
    <t>Kayla Williamson</t>
  </si>
  <si>
    <t>Sandra Dudley</t>
  </si>
  <si>
    <t>Elizabeth Williams</t>
  </si>
  <si>
    <t>Melissa Castillo</t>
  </si>
  <si>
    <t>Michael Meadows</t>
  </si>
  <si>
    <t>Kathleen Herring</t>
  </si>
  <si>
    <t>Misty Garcia</t>
  </si>
  <si>
    <t>Joyce Madden</t>
  </si>
  <si>
    <t>Brett Thompson</t>
  </si>
  <si>
    <t>Heather Rhodes</t>
  </si>
  <si>
    <t>Anna Chang</t>
  </si>
  <si>
    <t>Charles Holland</t>
  </si>
  <si>
    <t>Jeffrey Howell</t>
  </si>
  <si>
    <t>Jacqueline Cooper</t>
  </si>
  <si>
    <t>Victor Nelson</t>
  </si>
  <si>
    <t>Karen Fisher</t>
  </si>
  <si>
    <t>Ashley Horton</t>
  </si>
  <si>
    <t>Dr. Ashley Pruitt</t>
  </si>
  <si>
    <t>Meghan White</t>
  </si>
  <si>
    <t>Lisa Huffman</t>
  </si>
  <si>
    <t>Valerie Anderson</t>
  </si>
  <si>
    <t>Michael Gregory</t>
  </si>
  <si>
    <t>Misty Walker</t>
  </si>
  <si>
    <t>Kelly Watts</t>
  </si>
  <si>
    <t>Margaret Hernandez</t>
  </si>
  <si>
    <t>Victoria Brown</t>
  </si>
  <si>
    <t>Kathy Harrison</t>
  </si>
  <si>
    <t>Angela Vasquez</t>
  </si>
  <si>
    <t>Donald Hunter</t>
  </si>
  <si>
    <t>Jennifer Young</t>
  </si>
  <si>
    <t>Kenneth Miller</t>
  </si>
  <si>
    <t>Bryan Jimenez</t>
  </si>
  <si>
    <t>Jamie Johnson</t>
  </si>
  <si>
    <t>Brandon Munoz</t>
  </si>
  <si>
    <t>Stefanie Hart</t>
  </si>
  <si>
    <t>Tiffany Cox</t>
  </si>
  <si>
    <t>Sarah Rivera</t>
  </si>
  <si>
    <t>Kara Sandoval</t>
  </si>
  <si>
    <t>Brent Hopkins</t>
  </si>
  <si>
    <t>Ronald Brandt</t>
  </si>
  <si>
    <t>Jacqueline Rodriguez</t>
  </si>
  <si>
    <t>Charles Love</t>
  </si>
  <si>
    <t>David Gonzalez</t>
  </si>
  <si>
    <t>Jenna Bryant</t>
  </si>
  <si>
    <t>George Sherman</t>
  </si>
  <si>
    <t>Sara Chapman</t>
  </si>
  <si>
    <t>Judith Lawrence</t>
  </si>
  <si>
    <t>Jonathan Moreno</t>
  </si>
  <si>
    <t>Jessica Richards</t>
  </si>
  <si>
    <t>Tammy Thompson</t>
  </si>
  <si>
    <t>Sonya Gordon</t>
  </si>
  <si>
    <t>South</t>
  </si>
  <si>
    <t>North</t>
  </si>
  <si>
    <t>West</t>
  </si>
  <si>
    <t>East</t>
  </si>
  <si>
    <t>Table Lamp</t>
  </si>
  <si>
    <t>Wall Clock</t>
  </si>
  <si>
    <t>Mouse</t>
  </si>
  <si>
    <t>Laptop Stand</t>
  </si>
  <si>
    <t>Curtain</t>
  </si>
  <si>
    <t>Office Chair</t>
  </si>
  <si>
    <t>Whiteboard</t>
  </si>
  <si>
    <t>Pen Set</t>
  </si>
  <si>
    <t>Bluetooth Speaker</t>
  </si>
  <si>
    <t>Keyboard</t>
  </si>
  <si>
    <t>USB Cable</t>
  </si>
  <si>
    <t>Stapler</t>
  </si>
  <si>
    <t>Mug Set</t>
  </si>
  <si>
    <t>Cushion</t>
  </si>
  <si>
    <t>Notebook</t>
  </si>
  <si>
    <t>Home</t>
  </si>
  <si>
    <t>Tech</t>
  </si>
  <si>
    <t>Office</t>
  </si>
  <si>
    <t>5%</t>
  </si>
  <si>
    <t>0%</t>
  </si>
  <si>
    <t>20%</t>
  </si>
  <si>
    <t>15%</t>
  </si>
  <si>
    <t>10%</t>
  </si>
  <si>
    <t>unknown customer</t>
  </si>
  <si>
    <t>disc%</t>
  </si>
  <si>
    <t>AVERAGE</t>
  </si>
  <si>
    <t>Highest Order Value</t>
  </si>
  <si>
    <t xml:space="preserve"> Total Sale</t>
  </si>
  <si>
    <t>Sum of Total</t>
  </si>
  <si>
    <t>Row Labels</t>
  </si>
  <si>
    <t>Grand Total</t>
  </si>
  <si>
    <t>Top 5 products by Revenue</t>
  </si>
  <si>
    <t>products</t>
  </si>
  <si>
    <t>region wise sales</t>
  </si>
  <si>
    <t>Sum of Quantity</t>
  </si>
  <si>
    <t>categorywise Quantity sold</t>
  </si>
  <si>
    <t xml:space="preserve"> Monthly Sales Trend</t>
  </si>
  <si>
    <t>Jan</t>
  </si>
  <si>
    <t>Feb</t>
  </si>
  <si>
    <t>Mar</t>
  </si>
  <si>
    <t>Apr</t>
  </si>
  <si>
    <t>May</t>
  </si>
  <si>
    <t>Jun</t>
  </si>
  <si>
    <t>Jul</t>
  </si>
  <si>
    <t>Aug</t>
  </si>
  <si>
    <t>Sep</t>
  </si>
  <si>
    <t>Oct</t>
  </si>
  <si>
    <t>Nov</t>
  </si>
  <si>
    <t>Dec</t>
  </si>
  <si>
    <t>+</t>
  </si>
  <si>
    <t>SALES DASHBOARD</t>
  </si>
  <si>
    <t>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</si>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</sst>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sz val="20"/>
      <color theme="0"/>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3" tint="0.59999389629810485"/>
        <bgColor theme="4" tint="0.59999389629810485"/>
      </patternFill>
    </fill>
    <fill>
      <patternFill patternType="solid">
        <fgColor theme="0"/>
        <bgColor theme="4" tint="0.59999389629810485"/>
      </patternFill>
    </fill>
    <fill>
      <patternFill patternType="solid">
        <fgColor theme="7" tint="0.39997558519241921"/>
        <bgColor indexed="64"/>
      </patternFill>
    </fill>
    <fill>
      <patternFill patternType="solid">
        <fgColor theme="8" tint="0.39997558519241921"/>
        <bgColor indexed="64"/>
      </patternFill>
    </fill>
    <fill>
      <patternFill patternType="solid">
        <fgColor rgb="FFA5A5A5"/>
      </patternFill>
    </fill>
    <fill>
      <patternFill patternType="solid">
        <fgColor theme="3"/>
        <bgColor indexed="64"/>
      </patternFill>
    </fill>
  </fills>
  <borders count="5">
    <border>
      <left/>
      <right/>
      <top/>
      <bottom/>
      <diagonal/>
    </border>
    <border>
      <left style="thin">
        <color auto="1"/>
      </left>
      <right style="thin">
        <color auto="1"/>
      </right>
      <top/>
      <bottom style="thin">
        <color auto="1"/>
      </bottom>
      <diagonal/>
    </border>
    <border>
      <left style="thin">
        <color theme="0"/>
      </left>
      <right/>
      <top style="thin">
        <color theme="0"/>
      </top>
      <bottom style="thin">
        <color theme="0"/>
      </bottom>
      <diagonal/>
    </border>
    <border>
      <left style="double">
        <color rgb="FF3F3F3F"/>
      </left>
      <right style="double">
        <color rgb="FF3F3F3F"/>
      </right>
      <top style="double">
        <color rgb="FF3F3F3F"/>
      </top>
      <bottom style="double">
        <color rgb="FF3F3F3F"/>
      </bottom>
      <diagonal/>
    </border>
    <border>
      <left/>
      <right/>
      <top style="medium">
        <color theme="1" tint="4.9989318521683403E-2"/>
      </top>
      <bottom/>
      <diagonal/>
    </border>
  </borders>
  <cellStyleXfs count="2">
    <xf numFmtId="0" fontId="0" fillId="0" borderId="0"/>
    <xf numFmtId="0" fontId="3" fillId="7" borderId="3" applyNumberFormat="0" applyAlignment="0" applyProtection="0"/>
  </cellStyleXfs>
  <cellXfs count="14">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0" fontId="0" fillId="3" borderId="2" xfId="0" applyFill="1" applyBorder="1"/>
    <xf numFmtId="0" fontId="0" fillId="4" borderId="2" xfId="0" applyFill="1" applyBorder="1"/>
    <xf numFmtId="0" fontId="0" fillId="0" borderId="0" xfId="0" pivotButton="1"/>
    <xf numFmtId="0" fontId="0" fillId="0" borderId="0" xfId="0" applyAlignment="1">
      <alignment horizontal="left"/>
    </xf>
    <xf numFmtId="0" fontId="0" fillId="5" borderId="0" xfId="0" applyFill="1"/>
    <xf numFmtId="0" fontId="0" fillId="6" borderId="0" xfId="0" applyFill="1"/>
    <xf numFmtId="0" fontId="0" fillId="0" borderId="4" xfId="0" applyBorder="1"/>
    <xf numFmtId="3" fontId="0" fillId="0" borderId="0" xfId="0" applyNumberFormat="1"/>
    <xf numFmtId="0" fontId="4" fillId="8" borderId="0" xfId="1" applyFont="1" applyFill="1" applyBorder="1" applyAlignment="1">
      <alignment horizontal="center"/>
    </xf>
    <xf numFmtId="0" fontId="0" fillId="0" borderId="0" xfId="0" applyNumberFormat="1"/>
  </cellXfs>
  <cellStyles count="2">
    <cellStyle name="Check Cell" xfId="1" builtinId="23"/>
    <cellStyle name="Normal" xfId="0" builtinId="0"/>
  </cellStyles>
  <dxfs count="11">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region</a:t>
            </a:r>
            <a:endParaRPr lang="en-US"/>
          </a:p>
        </c:rich>
      </c:tx>
      <c:layout>
        <c:manualLayout>
          <c:xMode val="edge"/>
          <c:yMode val="edge"/>
          <c:x val="0.32321371015243272"/>
          <c:y val="3.53646493005226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6159183680273"/>
          <c:y val="0.23854631075621033"/>
          <c:w val="0.78063827866043889"/>
          <c:h val="0.63201613745102547"/>
        </c:manualLayout>
      </c:layout>
      <c:barChart>
        <c:barDir val="col"/>
        <c:grouping val="clustered"/>
        <c:varyColors val="0"/>
        <c:ser>
          <c:idx val="0"/>
          <c:order val="0"/>
          <c:tx>
            <c:strRef>
              <c:f>RAW!$E$5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RAW!$D$6:$D$11</c:f>
              <c:strCache>
                <c:ptCount val="5"/>
                <c:pt idx="0">
                  <c:v>North</c:v>
                </c:pt>
                <c:pt idx="1">
                  <c:v>West</c:v>
                </c:pt>
                <c:pt idx="2">
                  <c:v>South</c:v>
                </c:pt>
                <c:pt idx="3">
                  <c:v>East</c:v>
                </c:pt>
                <c:pt idx="4">
                  <c:v>(blank)</c:v>
                </c:pt>
              </c:strCache>
            </c:strRef>
          </c:cat>
          <c:val>
            <c:numRef>
              <c:f>RAW!$E$6:$E$11</c:f>
              <c:numCache>
                <c:formatCode>General</c:formatCode>
                <c:ptCount val="5"/>
                <c:pt idx="0">
                  <c:v>1867534.3339999998</c:v>
                </c:pt>
                <c:pt idx="1">
                  <c:v>1791211.2174999998</c:v>
                </c:pt>
                <c:pt idx="2">
                  <c:v>1539688.0044999998</c:v>
                </c:pt>
                <c:pt idx="3">
                  <c:v>1436084.0629999998</c:v>
                </c:pt>
                <c:pt idx="4">
                  <c:v>106064.53</c:v>
                </c:pt>
              </c:numCache>
            </c:numRef>
          </c:val>
          <c:extLst>
            <c:ext xmlns:c16="http://schemas.microsoft.com/office/drawing/2014/chart" uri="{C3380CC4-5D6E-409C-BE32-E72D297353CC}">
              <c16:uniqueId val="{00000000-5C66-423A-BE15-748997269349}"/>
            </c:ext>
          </c:extLst>
        </c:ser>
        <c:dLbls>
          <c:showLegendKey val="0"/>
          <c:showVal val="0"/>
          <c:showCatName val="0"/>
          <c:showSerName val="0"/>
          <c:showPercent val="0"/>
          <c:showBubbleSize val="0"/>
        </c:dLbls>
        <c:gapWidth val="100"/>
        <c:overlap val="-24"/>
        <c:axId val="647438191"/>
        <c:axId val="647434831"/>
      </c:barChart>
      <c:catAx>
        <c:axId val="6474381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434831"/>
        <c:crosses val="autoZero"/>
        <c:auto val="1"/>
        <c:lblAlgn val="ctr"/>
        <c:lblOffset val="100"/>
        <c:noMultiLvlLbl val="0"/>
      </c:catAx>
      <c:valAx>
        <c:axId val="647434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43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[Sales_Dashboard.xlsx]RAW!PivotTable4</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RAW!$K$5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RAW!$J$6:$J$18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RAW!$K$6:$K$18</c:f>
              <c:numCache>
                <c:formatCode>General</c:formatCode>
                <c:ptCount val="12"/>
                <c:pt idx="0">
                  <c:v>602073.35</c:v>
                </c:pt>
                <c:pt idx="1">
                  <c:v>447140.90300000005</c:v>
                </c:pt>
                <c:pt idx="2">
                  <c:v>585443.87300000002</c:v>
                </c:pt>
                <c:pt idx="3">
                  <c:v>655859.01</c:v>
                </c:pt>
                <c:pt idx="4">
                  <c:v>445393.32199999999</c:v>
                </c:pt>
                <c:pt idx="5">
                  <c:v>455025.32699999999</c:v>
                </c:pt>
                <c:pt idx="6">
                  <c:v>440491.60349999997</c:v>
                </c:pt>
                <c:pt idx="7">
                  <c:v>630809.84450000001</c:v>
                </c:pt>
                <c:pt idx="8">
                  <c:v>593920</c:v>
                </c:pt>
                <c:pt idx="9">
                  <c:v>564802.5</c:v>
                </c:pt>
                <c:pt idx="10">
                  <c:v>661977.44400000002</c:v>
                </c:pt>
                <c:pt idx="11">
                  <c:v>657644.97200000007</c:v>
                </c:pt>
              </c:numCache>
            </c:numRef>
          </c:val>
          <c:smooth val="0"/>
          <c:extLst>
            <c:ext xmlns:c16="http://schemas.microsoft.com/office/drawing/2014/chart" uri="{C3380CC4-5D6E-409C-BE32-E72D297353CC}">
              <c16:uniqueId val="{00000001-C0FE-48FB-A8D2-383F1A2310E4}"/>
            </c:ext>
          </c:extLst>
        </c:ser>
        <c:dLbls>
          <c:showLegendKey val="0"/>
          <c:showVal val="0"/>
          <c:showCatName val="0"/>
          <c:showSerName val="0"/>
          <c:showPercent val="0"/>
          <c:showBubbleSize val="0"/>
        </c:dLbls>
        <c:marker val="1"/>
        <c:smooth val="0"/>
        <c:axId val="647374831"/>
        <c:axId val="647379631"/>
      </c:lineChart>
      <c:catAx>
        <c:axId val="647374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79631"/>
        <c:crosses val="autoZero"/>
        <c:auto val="1"/>
        <c:lblAlgn val="ctr"/>
        <c:lblOffset val="100"/>
        <c:noMultiLvlLbl val="0"/>
      </c:catAx>
      <c:valAx>
        <c:axId val="64737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7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by Category</a:t>
            </a:r>
          </a:p>
        </c:rich>
      </c:tx>
      <c:layout>
        <c:manualLayout>
          <c:xMode val="edge"/>
          <c:yMode val="edge"/>
          <c:x val="0.39866057414912326"/>
          <c:y val="4.949381327334086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RAW!$H$5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3D-4755-8395-C24D84C7CDE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3D-4755-8395-C24D84C7CDE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3D-4755-8395-C24D84C7CD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RAW!$G$6:$G$9</c:f>
              <c:strCache>
                <c:ptCount val="3"/>
                <c:pt idx="0">
                  <c:v>Home</c:v>
                </c:pt>
                <c:pt idx="1">
                  <c:v>Office</c:v>
                </c:pt>
                <c:pt idx="2">
                  <c:v>Tech</c:v>
                </c:pt>
              </c:strCache>
            </c:strRef>
          </c:cat>
          <c:val>
            <c:numRef>
              <c:f>RAW!$H$6:$H$9</c:f>
              <c:numCache>
                <c:formatCode>General</c:formatCode>
                <c:ptCount val="3"/>
                <c:pt idx="0">
                  <c:v>1918</c:v>
                </c:pt>
                <c:pt idx="1">
                  <c:v>1909</c:v>
                </c:pt>
                <c:pt idx="2">
                  <c:v>1706</c:v>
                </c:pt>
              </c:numCache>
            </c:numRef>
          </c:val>
          <c:extLst>
            <c:ext xmlns:c16="http://schemas.microsoft.com/office/drawing/2014/chart" uri="{C3380CC4-5D6E-409C-BE32-E72D297353CC}">
              <c16:uniqueId val="{00000006-6C3D-4755-8395-C24D84C7CD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[Sales_Dashboard.xlsx]RAW!PivotTable8</c:name>
    <c:fmtId val="3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RAW!$A$18:$A$21</c:f>
              <c:strCache>
                <c:ptCount val="3"/>
                <c:pt idx="0">
                  <c:v>Home</c:v>
                </c:pt>
                <c:pt idx="1">
                  <c:v>Office</c:v>
                </c:pt>
                <c:pt idx="2">
                  <c:v>Tech</c:v>
                </c:pt>
              </c:strCache>
            </c:strRef>
          </c:cat>
          <c:val>
            <c:numRef>
              <c:f>RAW!$B$18:$B$21</c:f>
              <c:numCache>
                <c:formatCode>#,##0</c:formatCode>
                <c:ptCount val="3"/>
                <c:pt idx="0">
                  <c:v>2166685.2804999999</c:v>
                </c:pt>
                <c:pt idx="1">
                  <c:v>2300578.35</c:v>
                </c:pt>
                <c:pt idx="2">
                  <c:v>2273318.5184999993</c:v>
                </c:pt>
              </c:numCache>
            </c:numRef>
          </c:val>
          <c:extLst>
            <c:ext xmlns:c16="http://schemas.microsoft.com/office/drawing/2014/chart" uri="{C3380CC4-5D6E-409C-BE32-E72D297353CC}">
              <c16:uniqueId val="{00000000-C09B-4AB5-91B0-A37D2CD9EDAA}"/>
            </c:ext>
          </c:extLst>
        </c:ser>
        <c:dLbls>
          <c:showLegendKey val="0"/>
          <c:showVal val="0"/>
          <c:showCatName val="0"/>
          <c:showSerName val="0"/>
          <c:showPercent val="0"/>
          <c:showBubbleSize val="0"/>
        </c:dLbls>
        <c:gapWidth val="115"/>
        <c:overlap val="-20"/>
        <c:axId val="591062416"/>
        <c:axId val="763803600"/>
      </c:barChart>
      <c:catAx>
        <c:axId val="591062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803600"/>
        <c:crosses val="autoZero"/>
        <c:auto val="1"/>
        <c:lblAlgn val="ctr"/>
        <c:lblOffset val="100"/>
        <c:noMultiLvlLbl val="0"/>
      </c:catAx>
      <c:valAx>
        <c:axId val="7638036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[Sales_Dashboard.xlsx]RAW!PivotTable3</c:name>
    <c:fmtId val="11"/>
  </c:pivotSource>
  <c:chart>
    <c:title>
      <c:layout>
        <c:manualLayout>
          <c:xMode val="edge"/>
          <c:yMode val="edge"/>
          <c:x val="0.39866057414912326"/>
          <c:y val="4.9493813273340861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RAW!$H$5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CF-4E2D-97D0-DB2933C9677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CF-4E2D-97D0-DB2933C9677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CF-4E2D-97D0-DB2933C967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RAW!$G$6:$G$9</c:f>
              <c:strCache>
                <c:ptCount val="3"/>
                <c:pt idx="0">
                  <c:v>Home</c:v>
                </c:pt>
                <c:pt idx="1">
                  <c:v>Office</c:v>
                </c:pt>
                <c:pt idx="2">
                  <c:v>Tech</c:v>
                </c:pt>
              </c:strCache>
            </c:strRef>
          </c:cat>
          <c:val>
            <c:numRef>
              <c:f>RAW!$H$6:$H$9</c:f>
              <c:numCache>
                <c:formatCode>General</c:formatCode>
                <c:ptCount val="3"/>
                <c:pt idx="0">
                  <c:v>1918</c:v>
                </c:pt>
                <c:pt idx="1">
                  <c:v>1909</c:v>
                </c:pt>
                <c:pt idx="2">
                  <c:v>1706</c:v>
                </c:pt>
              </c:numCache>
            </c:numRef>
          </c:val>
          <c:extLst>
            <c:ext xmlns:c16="http://schemas.microsoft.com/office/drawing/2014/chart" uri="{C3380CC4-5D6E-409C-BE32-E72D297353CC}">
              <c16:uniqueId val="{00000000-4082-4FA3-ABDF-CF2ACAD9CD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[Sales_Dashboard.xlsx]RAW!PivotTable4</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RAW!$K$5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RAW!$J$6:$J$18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RAW!$K$6:$K$18</c:f>
              <c:numCache>
                <c:formatCode>General</c:formatCode>
                <c:ptCount val="12"/>
                <c:pt idx="0">
                  <c:v>602073.35</c:v>
                </c:pt>
                <c:pt idx="1">
                  <c:v>447140.90300000005</c:v>
                </c:pt>
                <c:pt idx="2">
                  <c:v>585443.87300000002</c:v>
                </c:pt>
                <c:pt idx="3">
                  <c:v>655859.01</c:v>
                </c:pt>
                <c:pt idx="4">
                  <c:v>445393.32199999999</c:v>
                </c:pt>
                <c:pt idx="5">
                  <c:v>455025.32699999999</c:v>
                </c:pt>
                <c:pt idx="6">
                  <c:v>440491.60349999997</c:v>
                </c:pt>
                <c:pt idx="7">
                  <c:v>630809.84450000001</c:v>
                </c:pt>
                <c:pt idx="8">
                  <c:v>593920</c:v>
                </c:pt>
                <c:pt idx="9">
                  <c:v>564802.5</c:v>
                </c:pt>
                <c:pt idx="10">
                  <c:v>661977.44400000002</c:v>
                </c:pt>
                <c:pt idx="11">
                  <c:v>657644.97200000007</c:v>
                </c:pt>
              </c:numCache>
            </c:numRef>
          </c:val>
          <c:smooth val="0"/>
          <c:extLst>
            <c:ext xmlns:c16="http://schemas.microsoft.com/office/drawing/2014/chart" uri="{C3380CC4-5D6E-409C-BE32-E72D297353CC}">
              <c16:uniqueId val="{00000000-5DE3-49A7-B4D1-D10FDDCDDC4D}"/>
            </c:ext>
          </c:extLst>
        </c:ser>
        <c:dLbls>
          <c:showLegendKey val="0"/>
          <c:showVal val="0"/>
          <c:showCatName val="0"/>
          <c:showSerName val="0"/>
          <c:showPercent val="0"/>
          <c:showBubbleSize val="0"/>
        </c:dLbls>
        <c:marker val="1"/>
        <c:smooth val="0"/>
        <c:axId val="647374831"/>
        <c:axId val="647379631"/>
      </c:lineChart>
      <c:catAx>
        <c:axId val="647374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79631"/>
        <c:crosses val="autoZero"/>
        <c:auto val="1"/>
        <c:lblAlgn val="ctr"/>
        <c:lblOffset val="100"/>
        <c:noMultiLvlLbl val="0"/>
      </c:catAx>
      <c:valAx>
        <c:axId val="64737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7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RAW!$E$5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RAW!$D$6:$D$11</c:f>
              <c:strCache>
                <c:ptCount val="5"/>
                <c:pt idx="0">
                  <c:v>North</c:v>
                </c:pt>
                <c:pt idx="1">
                  <c:v>West</c:v>
                </c:pt>
                <c:pt idx="2">
                  <c:v>South</c:v>
                </c:pt>
                <c:pt idx="3">
                  <c:v>East</c:v>
                </c:pt>
                <c:pt idx="4">
                  <c:v>(blank)</c:v>
                </c:pt>
              </c:strCache>
            </c:strRef>
          </c:cat>
          <c:val>
            <c:numRef>
              <c:f>RAW!$E$6:$E$11</c:f>
              <c:numCache>
                <c:formatCode>General</c:formatCode>
                <c:ptCount val="5"/>
                <c:pt idx="0">
                  <c:v>1867534.3339999998</c:v>
                </c:pt>
                <c:pt idx="1">
                  <c:v>1791211.2174999998</c:v>
                </c:pt>
                <c:pt idx="2">
                  <c:v>1539688.0044999998</c:v>
                </c:pt>
                <c:pt idx="3">
                  <c:v>1436084.0629999998</c:v>
                </c:pt>
                <c:pt idx="4">
                  <c:v>106064.53</c:v>
                </c:pt>
              </c:numCache>
            </c:numRef>
          </c:val>
          <c:extLst>
            <c:ext xmlns:c16="http://schemas.microsoft.com/office/drawing/2014/chart" uri="{C3380CC4-5D6E-409C-BE32-E72D297353CC}">
              <c16:uniqueId val="{00000000-B98A-4261-807F-7FDB2CE14C78}"/>
            </c:ext>
          </c:extLst>
        </c:ser>
        <c:dLbls>
          <c:showLegendKey val="0"/>
          <c:showVal val="0"/>
          <c:showCatName val="0"/>
          <c:showSerName val="0"/>
          <c:showPercent val="0"/>
          <c:showBubbleSize val="0"/>
        </c:dLbls>
        <c:gapWidth val="100"/>
        <c:overlap val="-24"/>
        <c:axId val="647438191"/>
        <c:axId val="647434831"/>
      </c:barChart>
      <c:catAx>
        <c:axId val="647438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434831"/>
        <c:crosses val="autoZero"/>
        <c:auto val="1"/>
        <c:lblAlgn val="ctr"/>
        <c:lblOffset val="100"/>
        <c:noMultiLvlLbl val="0"/>
      </c:catAx>
      <c:valAx>
        <c:axId val="64743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43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[Sales_Dashboard.xlsx]RAW!PivotTable8</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RAW!$B$17</c:f>
              <c:strCache>
                <c:ptCount val="1"/>
                <c:pt idx="0">
                  <c:v>Total</c:v>
                </c:pt>
              </c:strCache>
            </c:strRef>
          </c:tx>
          <c:spPr>
            <a:solidFill>
              <a:schemeClr val="accent1"/>
            </a:solidFill>
            <a:ln>
              <a:noFill/>
            </a:ln>
            <a:effectLst/>
          </c:spPr>
          <c:invertIfNegative val="0"/>
          <c:cat>
            <c:strRef>
              <c:f>RAW!$A$18:$A$21</c:f>
              <c:strCache>
                <c:ptCount val="3"/>
                <c:pt idx="0">
                  <c:v>Home</c:v>
                </c:pt>
                <c:pt idx="1">
                  <c:v>Office</c:v>
                </c:pt>
                <c:pt idx="2">
                  <c:v>Tech</c:v>
                </c:pt>
              </c:strCache>
            </c:strRef>
          </c:cat>
          <c:val>
            <c:numRef>
              <c:f>RAW!$B$18:$B$21</c:f>
              <c:numCache>
                <c:formatCode>#,##0</c:formatCode>
                <c:ptCount val="3"/>
                <c:pt idx="0">
                  <c:v>2166685.2804999999</c:v>
                </c:pt>
                <c:pt idx="1">
                  <c:v>2300578.35</c:v>
                </c:pt>
                <c:pt idx="2">
                  <c:v>2273318.5184999993</c:v>
                </c:pt>
              </c:numCache>
            </c:numRef>
          </c:val>
          <c:extLst>
            <c:ext xmlns:c16="http://schemas.microsoft.com/office/drawing/2014/chart" uri="{C3380CC4-5D6E-409C-BE32-E72D297353CC}">
              <c16:uniqueId val="{00000000-E2A5-4A10-AE57-02C7636E79ED}"/>
            </c:ext>
          </c:extLst>
        </c:ser>
        <c:dLbls>
          <c:showLegendKey val="0"/>
          <c:showVal val="0"/>
          <c:showCatName val="0"/>
          <c:showSerName val="0"/>
          <c:showPercent val="0"/>
          <c:showBubbleSize val="0"/>
        </c:dLbls>
        <c:gapWidth val="182"/>
        <c:axId val="591062416"/>
        <c:axId val="763803600"/>
      </c:barChart>
      <c:catAx>
        <c:axId val="59106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803600"/>
        <c:crosses val="autoZero"/>
        <c:auto val="1"/>
        <c:lblAlgn val="ctr"/>
        <c:lblOffset val="100"/>
        <c:noMultiLvlLbl val="0"/>
      </c:catAx>
      <c:valAx>
        <c:axId val="7638036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271078</xdr:colOff>
      <xdr:row>7</xdr:row>
      <xdr:rowOff>43530</xdr:rowOff>
    </xdr:from>
    <xdr:to>
      <xdr:col>6</xdr:col>
      <xdr:colOff>398079</xdr:colOff>
      <xdr:row>10</xdr:row>
      <xdr:rowOff>148797</xdr:rowOff>
    </xdr:to>
    <xdr:sp macro="" textlink="">
      <xdr:nvSpPr>
        <xdr:cNvPr id="2" name="Rectangle: Rounded Corners 1">
          <a:extLst>
            <a:ext uri="{FF2B5EF4-FFF2-40B4-BE49-F238E27FC236}">
              <a16:creationId xmlns:a16="http://schemas.microsoft.com/office/drawing/2014/main" id="{7C44EB9B-E8AE-4A79-EBE8-249CBD0296A8}"/>
            </a:ext>
          </a:extLst>
        </xdr:cNvPr>
        <xdr:cNvSpPr/>
      </xdr:nvSpPr>
      <xdr:spPr>
        <a:xfrm>
          <a:off x="2703754" y="1501347"/>
          <a:ext cx="1343339" cy="6687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 Revenue</a:t>
          </a:r>
        </a:p>
        <a:p>
          <a:pPr algn="l"/>
          <a:r>
            <a:rPr lang="en-IN" sz="1200" b="0" i="0" u="none" strike="noStrike">
              <a:solidFill>
                <a:schemeClr val="lt1"/>
              </a:solidFill>
              <a:effectLst/>
              <a:latin typeface="+mn-lt"/>
              <a:ea typeface="+mn-ea"/>
              <a:cs typeface="+mn-cs"/>
            </a:rPr>
            <a:t>6740582.149</a:t>
          </a:r>
          <a:r>
            <a:rPr lang="en-IN" sz="1200">
              <a:effectLst/>
            </a:rPr>
            <a:t> </a:t>
          </a:r>
          <a:endParaRPr lang="en-IN" sz="1200"/>
        </a:p>
      </xdr:txBody>
    </xdr:sp>
    <xdr:clientData/>
  </xdr:twoCellAnchor>
  <xdr:twoCellAnchor>
    <xdr:from>
      <xdr:col>4</xdr:col>
      <xdr:colOff>275281</xdr:colOff>
      <xdr:row>1</xdr:row>
      <xdr:rowOff>177090</xdr:rowOff>
    </xdr:from>
    <xdr:to>
      <xdr:col>6</xdr:col>
      <xdr:colOff>402281</xdr:colOff>
      <xdr:row>5</xdr:row>
      <xdr:rowOff>94540</xdr:rowOff>
    </xdr:to>
    <xdr:sp macro="" textlink="">
      <xdr:nvSpPr>
        <xdr:cNvPr id="4" name="Rectangle: Rounded Corners 3">
          <a:extLst>
            <a:ext uri="{FF2B5EF4-FFF2-40B4-BE49-F238E27FC236}">
              <a16:creationId xmlns:a16="http://schemas.microsoft.com/office/drawing/2014/main" id="{ED297C32-DCDD-4926-956C-959242440935}"/>
            </a:ext>
          </a:extLst>
        </xdr:cNvPr>
        <xdr:cNvSpPr/>
      </xdr:nvSpPr>
      <xdr:spPr>
        <a:xfrm>
          <a:off x="2712308" y="503171"/>
          <a:ext cx="1345514" cy="6382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n-lt"/>
              <a:ea typeface="+mn-ea"/>
              <a:cs typeface="+mn-cs"/>
            </a:rPr>
            <a:t>AVERAGE </a:t>
          </a:r>
        </a:p>
        <a:p>
          <a:pPr algn="l"/>
          <a:r>
            <a:rPr lang="en-IN" sz="1200" b="0" i="0" u="none" strike="noStrike">
              <a:solidFill>
                <a:schemeClr val="lt1"/>
              </a:solidFill>
              <a:effectLst/>
              <a:latin typeface="+mn-lt"/>
              <a:ea typeface="+mn-ea"/>
              <a:cs typeface="+mn-cs"/>
            </a:rPr>
            <a:t>6740.582149</a:t>
          </a:r>
          <a:r>
            <a:rPr lang="en-IN" sz="1200">
              <a:effectLst/>
            </a:rPr>
            <a:t> </a:t>
          </a:r>
          <a:endParaRPr lang="en-IN" sz="1200"/>
        </a:p>
      </xdr:txBody>
    </xdr:sp>
    <xdr:clientData/>
  </xdr:twoCellAnchor>
  <xdr:twoCellAnchor>
    <xdr:from>
      <xdr:col>7</xdr:col>
      <xdr:colOff>98418</xdr:colOff>
      <xdr:row>7</xdr:row>
      <xdr:rowOff>21233</xdr:rowOff>
    </xdr:from>
    <xdr:to>
      <xdr:col>9</xdr:col>
      <xdr:colOff>226888</xdr:colOff>
      <xdr:row>10</xdr:row>
      <xdr:rowOff>137935</xdr:rowOff>
    </xdr:to>
    <xdr:sp macro="" textlink="">
      <xdr:nvSpPr>
        <xdr:cNvPr id="5" name="Rectangle: Rounded Corners 4">
          <a:extLst>
            <a:ext uri="{FF2B5EF4-FFF2-40B4-BE49-F238E27FC236}">
              <a16:creationId xmlns:a16="http://schemas.microsoft.com/office/drawing/2014/main" id="{67AEE2D2-1E85-4CDB-946F-CDE369E3E455}"/>
            </a:ext>
          </a:extLst>
        </xdr:cNvPr>
        <xdr:cNvSpPr/>
      </xdr:nvSpPr>
      <xdr:spPr>
        <a:xfrm>
          <a:off x="4355601" y="1479050"/>
          <a:ext cx="1344808" cy="6801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n-lt"/>
              <a:ea typeface="+mn-ea"/>
              <a:cs typeface="+mn-cs"/>
            </a:rPr>
            <a:t>Top</a:t>
          </a:r>
          <a:r>
            <a:rPr lang="en-IN" sz="1400" b="1" baseline="0">
              <a:solidFill>
                <a:schemeClr val="lt1"/>
              </a:solidFill>
              <a:latin typeface="+mn-lt"/>
              <a:ea typeface="+mn-ea"/>
              <a:cs typeface="+mn-cs"/>
            </a:rPr>
            <a:t> Region</a:t>
          </a:r>
          <a:endParaRPr lang="en-IN" sz="1400" b="1">
            <a:solidFill>
              <a:schemeClr val="lt1"/>
            </a:solidFill>
            <a:latin typeface="+mn-lt"/>
            <a:ea typeface="+mn-ea"/>
            <a:cs typeface="+mn-cs"/>
          </a:endParaRPr>
        </a:p>
        <a:p>
          <a:pPr algn="l"/>
          <a:r>
            <a:rPr lang="en-IN" sz="1100" b="0" i="0" u="none" strike="noStrike">
              <a:solidFill>
                <a:schemeClr val="lt1"/>
              </a:solidFill>
              <a:effectLst/>
              <a:latin typeface="+mn-lt"/>
              <a:ea typeface="+mn-ea"/>
              <a:cs typeface="+mn-cs"/>
            </a:rPr>
            <a:t>North</a:t>
          </a:r>
          <a:r>
            <a:rPr lang="en-IN" sz="1200">
              <a:effectLst/>
            </a:rPr>
            <a:t>  </a:t>
          </a:r>
          <a:endParaRPr lang="en-IN" sz="1200"/>
        </a:p>
      </xdr:txBody>
    </xdr:sp>
    <xdr:clientData/>
  </xdr:twoCellAnchor>
  <xdr:twoCellAnchor>
    <xdr:from>
      <xdr:col>7</xdr:col>
      <xdr:colOff>159960</xdr:colOff>
      <xdr:row>1</xdr:row>
      <xdr:rowOff>162157</xdr:rowOff>
    </xdr:from>
    <xdr:to>
      <xdr:col>9</xdr:col>
      <xdr:colOff>286960</xdr:colOff>
      <xdr:row>5</xdr:row>
      <xdr:rowOff>71993</xdr:rowOff>
    </xdr:to>
    <xdr:sp macro="" textlink="">
      <xdr:nvSpPr>
        <xdr:cNvPr id="6" name="Rectangle: Rounded Corners 5">
          <a:extLst>
            <a:ext uri="{FF2B5EF4-FFF2-40B4-BE49-F238E27FC236}">
              <a16:creationId xmlns:a16="http://schemas.microsoft.com/office/drawing/2014/main" id="{3EBF2BE4-0B89-496C-BB51-C0E4E661CF0B}"/>
            </a:ext>
          </a:extLst>
        </xdr:cNvPr>
        <xdr:cNvSpPr/>
      </xdr:nvSpPr>
      <xdr:spPr>
        <a:xfrm>
          <a:off x="4417143" y="493072"/>
          <a:ext cx="1343338" cy="6611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baseline="0">
              <a:solidFill>
                <a:schemeClr val="lt1"/>
              </a:solidFill>
              <a:latin typeface="+mn-lt"/>
              <a:ea typeface="+mn-ea"/>
              <a:cs typeface="+mn-cs"/>
            </a:rPr>
            <a:t>Top Product</a:t>
          </a:r>
          <a:r>
            <a:rPr lang="en-IN" sz="1400" b="1">
              <a:solidFill>
                <a:schemeClr val="lt1"/>
              </a:solidFill>
              <a:latin typeface="+mn-lt"/>
              <a:ea typeface="+mn-ea"/>
              <a:cs typeface="+mn-cs"/>
            </a:rPr>
            <a:t> </a:t>
          </a:r>
        </a:p>
        <a:p>
          <a:pPr algn="l"/>
          <a:r>
            <a:rPr lang="en-IN" sz="1100" b="0" i="0" u="none" strike="noStrike">
              <a:solidFill>
                <a:schemeClr val="lt1"/>
              </a:solidFill>
              <a:effectLst/>
              <a:latin typeface="+mn-lt"/>
              <a:ea typeface="+mn-ea"/>
              <a:cs typeface="+mn-cs"/>
            </a:rPr>
            <a:t>Stapler</a:t>
          </a:r>
          <a:r>
            <a:rPr lang="en-IN" sz="1200">
              <a:effectLst/>
            </a:rPr>
            <a:t> </a:t>
          </a:r>
          <a:endParaRPr lang="en-IN" sz="1200"/>
        </a:p>
      </xdr:txBody>
    </xdr:sp>
    <xdr:clientData/>
  </xdr:twoCellAnchor>
  <xdr:twoCellAnchor>
    <xdr:from>
      <xdr:col>15</xdr:col>
      <xdr:colOff>94702</xdr:colOff>
      <xdr:row>15</xdr:row>
      <xdr:rowOff>89435</xdr:rowOff>
    </xdr:from>
    <xdr:to>
      <xdr:col>21</xdr:col>
      <xdr:colOff>26831</xdr:colOff>
      <xdr:row>26</xdr:row>
      <xdr:rowOff>52686</xdr:rowOff>
    </xdr:to>
    <xdr:graphicFrame macro="">
      <xdr:nvGraphicFramePr>
        <xdr:cNvPr id="7" name="Chart 6">
          <a:extLst>
            <a:ext uri="{FF2B5EF4-FFF2-40B4-BE49-F238E27FC236}">
              <a16:creationId xmlns:a16="http://schemas.microsoft.com/office/drawing/2014/main" id="{B93B7AF4-0DFD-4D68-97E9-29F5951FE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406243</xdr:colOff>
      <xdr:row>1</xdr:row>
      <xdr:rowOff>82548</xdr:rowOff>
    </xdr:from>
    <xdr:to>
      <xdr:col>15</xdr:col>
      <xdr:colOff>563450</xdr:colOff>
      <xdr:row>13</xdr:row>
      <xdr:rowOff>186590</xdr:rowOff>
    </xdr:to>
    <xdr:graphicFrame macro="">
      <xdr:nvGraphicFramePr>
        <xdr:cNvPr id="9" name="Chart 8">
          <a:extLst>
            <a:ext uri="{FF2B5EF4-FFF2-40B4-BE49-F238E27FC236}">
              <a16:creationId xmlns:a16="http://schemas.microsoft.com/office/drawing/2014/main" id="{A4417C50-7314-4673-9E5C-F82389D98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194335</xdr:colOff>
      <xdr:row>12</xdr:row>
      <xdr:rowOff>53663</xdr:rowOff>
    </xdr:from>
    <xdr:to>
      <xdr:col>8</xdr:col>
      <xdr:colOff>448718</xdr:colOff>
      <xdr:row>25</xdr:row>
      <xdr:rowOff>139331</xdr:rowOff>
    </xdr:to>
    <xdr:graphicFrame macro="">
      <xdr:nvGraphicFramePr>
        <xdr:cNvPr id="3" name="Chart 2">
          <a:extLst>
            <a:ext uri="{FF2B5EF4-FFF2-40B4-BE49-F238E27FC236}">
              <a16:creationId xmlns:a16="http://schemas.microsoft.com/office/drawing/2014/main" id="{1A7A1BD1-C77E-4A0D-B2F7-EADB9CF4B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258214</xdr:colOff>
      <xdr:row>14</xdr:row>
      <xdr:rowOff>116395</xdr:rowOff>
    </xdr:from>
    <xdr:to>
      <xdr:col>14</xdr:col>
      <xdr:colOff>438240</xdr:colOff>
      <xdr:row>26</xdr:row>
      <xdr:rowOff>28364</xdr:rowOff>
    </xdr:to>
    <xdr:graphicFrame macro="">
      <xdr:nvGraphicFramePr>
        <xdr:cNvPr id="8" name="Chart 7">
          <a:extLst>
            <a:ext uri="{FF2B5EF4-FFF2-40B4-BE49-F238E27FC236}">
              <a16:creationId xmlns:a16="http://schemas.microsoft.com/office/drawing/2014/main" id="{3D026293-07BF-4E05-849F-514D11524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505496</xdr:colOff>
      <xdr:row>1</xdr:row>
      <xdr:rowOff>81119</xdr:rowOff>
    </xdr:from>
    <xdr:to>
      <xdr:col>20</xdr:col>
      <xdr:colOff>572395</xdr:colOff>
      <xdr:row>7</xdr:row>
      <xdr:rowOff>125210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5DC2C44B-9A76-7EBC-86AE-A59A71AFA6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59246" y="411848"/>
              <a:ext cx="1283982" cy="1155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120919</xdr:colOff>
      <xdr:row>2</xdr:row>
      <xdr:rowOff>9570</xdr:rowOff>
    </xdr:from>
    <xdr:to>
      <xdr:col>18</xdr:col>
      <xdr:colOff>447184</xdr:colOff>
      <xdr:row>12</xdr:row>
      <xdr:rowOff>125212</xdr:rowOff>
    </xdr:to>
    <mc:AlternateContent xmlns:mc="http://schemas.openxmlformats.org/markup-compatibility/2006" xmlns:a14="http://schemas.microsoft.com/office/drawing/2010/main">
      <mc:Choice Requires="a14">
        <xdr:graphicFrame macro="">
          <xdr:nvGraphicFramePr>
            <xdr:cNvPr id="13" name="Months ">
              <a:extLst>
                <a:ext uri="{FF2B5EF4-FFF2-40B4-BE49-F238E27FC236}">
                  <a16:creationId xmlns:a16="http://schemas.microsoft.com/office/drawing/2014/main" id="{A6BF5EA6-2E93-E9C2-85BF-5C4D024EB12B}"/>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9857586" y="525508"/>
              <a:ext cx="1543348" cy="196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559158</xdr:colOff>
      <xdr:row>7</xdr:row>
      <xdr:rowOff>161612</xdr:rowOff>
    </xdr:from>
    <xdr:to>
      <xdr:col>20</xdr:col>
      <xdr:colOff>545563</xdr:colOff>
      <xdr:row>15</xdr:row>
      <xdr:rowOff>53661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9F09007-4F9C-06A7-2309-9E905CF242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12908" y="1603591"/>
              <a:ext cx="1203488" cy="1373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476249</xdr:colOff>
      <xdr:row>10</xdr:row>
      <xdr:rowOff>44450</xdr:rowOff>
    </xdr:from>
    <xdr:to>
      <xdr:col>8</xdr:col>
      <xdr:colOff>615950</xdr:colOff>
      <xdr:row>21</xdr:row>
      <xdr:rowOff>19050</xdr:rowOff>
    </xdr:to>
    <xdr:graphicFrame macro="">
      <xdr:nvGraphicFramePr>
        <xdr:cNvPr id="3" name="Chart 2">
          <a:extLst>
            <a:ext uri="{FF2B5EF4-FFF2-40B4-BE49-F238E27FC236}">
              <a16:creationId xmlns:a16="http://schemas.microsoft.com/office/drawing/2014/main" id="{2C882EDA-3D37-FF75-744C-FA3F7C30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120649</xdr:colOff>
      <xdr:row>3</xdr:row>
      <xdr:rowOff>12700</xdr:rowOff>
    </xdr:from>
    <xdr:to>
      <xdr:col>18</xdr:col>
      <xdr:colOff>19050</xdr:colOff>
      <xdr:row>16</xdr:row>
      <xdr:rowOff>107950</xdr:rowOff>
    </xdr:to>
    <xdr:graphicFrame macro="">
      <xdr:nvGraphicFramePr>
        <xdr:cNvPr id="4" name="Chart 3">
          <a:extLst>
            <a:ext uri="{FF2B5EF4-FFF2-40B4-BE49-F238E27FC236}">
              <a16:creationId xmlns:a16="http://schemas.microsoft.com/office/drawing/2014/main" id="{01E2445F-3F77-3819-A80B-BB8209312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266699</xdr:colOff>
      <xdr:row>24</xdr:row>
      <xdr:rowOff>165100</xdr:rowOff>
    </xdr:from>
    <xdr:to>
      <xdr:col>6</xdr:col>
      <xdr:colOff>495300</xdr:colOff>
      <xdr:row>36</xdr:row>
      <xdr:rowOff>76200</xdr:rowOff>
    </xdr:to>
    <xdr:graphicFrame macro="">
      <xdr:nvGraphicFramePr>
        <xdr:cNvPr id="5" name="Chart 4">
          <a:extLst>
            <a:ext uri="{FF2B5EF4-FFF2-40B4-BE49-F238E27FC236}">
              <a16:creationId xmlns:a16="http://schemas.microsoft.com/office/drawing/2014/main" id="{FD98C61C-E922-D2B4-E7CF-5A109251D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44450</xdr:colOff>
      <xdr:row>12</xdr:row>
      <xdr:rowOff>6350</xdr:rowOff>
    </xdr:from>
    <xdr:to>
      <xdr:col>5</xdr:col>
      <xdr:colOff>641350</xdr:colOff>
      <xdr:row>20</xdr:row>
      <xdr:rowOff>104774</xdr:rowOff>
    </xdr:to>
    <xdr:graphicFrame macro="">
      <xdr:nvGraphicFramePr>
        <xdr:cNvPr id="6" name="Chart 5">
          <a:extLst>
            <a:ext uri="{FF2B5EF4-FFF2-40B4-BE49-F238E27FC236}">
              <a16:creationId xmlns:a16="http://schemas.microsoft.com/office/drawing/2014/main" id="{D56B17B1-1077-806D-F53F-6DF0B516C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u" refreshedDate="46088.677824421298" createdVersion="8" refreshedVersion="8" minRefreshableVersion="3" recordCount="1000" xr:uid="{C6620DD8-A887-48FB-AEB3-C80DB275B371}">
  <cacheSource type="worksheet">
    <worksheetSource name="Table1"/>
  </cacheSource>
  <cacheFields count="14">
    <cacheField name="Order ID" numFmtId="0">
      <sharedItems containsSemiMixedTypes="0" containsString="0" containsNumber="1" containsInteger="1" minValue="1000" maxValue="1999"/>
    </cacheField>
    <cacheField name="Date" numFmtId="164">
      <sharedItems containsSemiMixedTypes="0" containsNonDate="0" containsDate="1" containsString="0" minDate="2024-07-28T00:00:00" maxDate="2025-07-29T00:00:00" count="347">
        <d v="2025-04-02T00:00:00"/>
        <d v="2024-09-20T00:00:00"/>
        <d v="2024-08-30T00:00:00"/>
        <d v="2024-10-26T00:00:00"/>
        <d v="2025-04-06T00:00:00"/>
        <d v="2024-11-13T00:00:00"/>
        <d v="2025-04-25T00:00:00"/>
        <d v="2025-05-20T00:00:00"/>
        <d v="2025-06-22T00:00:00"/>
        <d v="2025-01-22T00:00:00"/>
        <d v="2025-02-27T00:00:00"/>
        <d v="2024-12-15T00:00:00"/>
        <d v="2024-10-24T00:00:00"/>
        <d v="2025-06-29T00:00:00"/>
        <d v="2024-12-16T00:00:00"/>
        <d v="2025-04-26T00:00:00"/>
        <d v="2024-10-02T00:00:00"/>
        <d v="2024-11-09T00:00:00"/>
        <d v="2025-06-20T00:00:00"/>
        <d v="2025-06-05T00:00:00"/>
        <d v="2025-03-05T00:00:00"/>
        <d v="2024-12-28T00:00:00"/>
        <d v="2025-03-12T00:00:00"/>
        <d v="2024-09-19T00:00:00"/>
        <d v="2024-09-08T00:00:00"/>
        <d v="2025-03-16T00:00:00"/>
        <d v="2025-02-18T00:00:00"/>
        <d v="2025-04-18T00:00:00"/>
        <d v="2024-11-08T00:00:00"/>
        <d v="2024-09-27T00:00:00"/>
        <d v="2024-11-07T00:00:00"/>
        <d v="2024-09-07T00:00:00"/>
        <d v="2025-03-21T00:00:00"/>
        <d v="2025-05-26T00:00:00"/>
        <d v="2025-02-02T00:00:00"/>
        <d v="2025-06-15T00:00:00"/>
        <d v="2024-08-23T00:00:00"/>
        <d v="2025-04-10T00:00:00"/>
        <d v="2025-07-01T00:00:00"/>
        <d v="2025-05-17T00:00:00"/>
        <d v="2025-04-14T00:00:00"/>
        <d v="2024-09-12T00:00:00"/>
        <d v="2025-02-28T00:00:00"/>
        <d v="2025-03-30T00:00:00"/>
        <d v="2024-12-03T00:00:00"/>
        <d v="2024-10-19T00:00:00"/>
        <d v="2025-03-08T00:00:00"/>
        <d v="2024-10-09T00:00:00"/>
        <d v="2025-01-03T00:00:00"/>
        <d v="2025-04-04T00:00:00"/>
        <d v="2025-06-27T00:00:00"/>
        <d v="2025-07-21T00:00:00"/>
        <d v="2024-09-04T00:00:00"/>
        <d v="2024-09-02T00:00:00"/>
        <d v="2025-02-01T00:00:00"/>
        <d v="2024-07-28T00:00:00"/>
        <d v="2025-01-08T00:00:00"/>
        <d v="2025-04-11T00:00:00"/>
        <d v="2024-08-19T00:00:00"/>
        <d v="2025-02-19T00:00:00"/>
        <d v="2024-10-08T00:00:00"/>
        <d v="2024-12-31T00:00:00"/>
        <d v="2025-03-15T00:00:00"/>
        <d v="2025-03-04T00:00:00"/>
        <d v="2025-05-02T00:00:00"/>
        <d v="2024-08-25T00:00:00"/>
        <d v="2025-07-25T00:00:00"/>
        <d v="2024-11-15T00:00:00"/>
        <d v="2025-03-22T00:00:00"/>
        <d v="2024-09-18T00:00:00"/>
        <d v="2024-09-26T00:00:00"/>
        <d v="2024-10-15T00:00:00"/>
        <d v="2024-11-02T00:00:00"/>
        <d v="2024-09-16T00:00:00"/>
        <d v="2025-07-05T00:00:00"/>
        <d v="2024-12-18T00:00:00"/>
        <d v="2024-11-24T00:00:00"/>
        <d v="2024-08-12T00:00:00"/>
        <d v="2024-09-05T00:00:00"/>
        <d v="2025-03-26T00:00:00"/>
        <d v="2024-09-29T00:00:00"/>
        <d v="2024-08-06T00:00:00"/>
        <d v="2024-10-22T00:00:00"/>
        <d v="2025-06-28T00:00:00"/>
        <d v="2025-02-10T00:00:00"/>
        <d v="2025-07-27T00:00:00"/>
        <d v="2025-03-10T00:00:00"/>
        <d v="2025-01-12T00:00:00"/>
        <d v="2025-02-11T00:00:00"/>
        <d v="2024-08-14T00:00:00"/>
        <d v="2025-02-22T00:00:00"/>
        <d v="2024-10-12T00:00:00"/>
        <d v="2025-07-12T00:00:00"/>
        <d v="2025-04-12T00:00:00"/>
        <d v="2025-03-24T00:00:00"/>
        <d v="2024-11-23T00:00:00"/>
        <d v="2025-04-08T00:00:00"/>
        <d v="2024-10-01T00:00:00"/>
        <d v="2025-03-25T00:00:00"/>
        <d v="2025-04-15T00:00:00"/>
        <d v="2025-07-06T00:00:00"/>
        <d v="2025-04-24T00:00:00"/>
        <d v="2025-07-15T00:00:00"/>
        <d v="2025-01-28T00:00:00"/>
        <d v="2024-11-12T00:00:00"/>
        <d v="2024-11-11T00:00:00"/>
        <d v="2024-12-05T00:00:00"/>
        <d v="2024-10-25T00:00:00"/>
        <d v="2025-01-05T00:00:00"/>
        <d v="2024-10-16T00:00:00"/>
        <d v="2025-01-29T00:00:00"/>
        <d v="2025-06-24T00:00:00"/>
        <d v="2025-05-09T00:00:00"/>
        <d v="2024-10-21T00:00:00"/>
        <d v="2025-04-13T00:00:00"/>
        <d v="2025-01-25T00:00:00"/>
        <d v="2025-04-03T00:00:00"/>
        <d v="2024-11-06T00:00:00"/>
        <d v="2025-05-19T00:00:00"/>
        <d v="2025-01-07T00:00:00"/>
        <d v="2024-11-01T00:00:00"/>
        <d v="2024-09-15T00:00:00"/>
        <d v="2025-01-24T00:00:00"/>
        <d v="2025-03-20T00:00:00"/>
        <d v="2024-11-26T00:00:00"/>
        <d v="2025-07-28T00:00:00"/>
        <d v="2025-03-28T00:00:00"/>
        <d v="2025-04-19T00:00:00"/>
        <d v="2025-05-27T00:00:00"/>
        <d v="2025-06-12T00:00:00"/>
        <d v="2025-01-31T00:00:00"/>
        <d v="2024-11-30T00:00:00"/>
        <d v="2024-10-06T00:00:00"/>
        <d v="2024-10-10T00:00:00"/>
        <d v="2025-05-18T00:00:00"/>
        <d v="2025-01-18T00:00:00"/>
        <d v="2025-04-22T00:00:00"/>
        <d v="2025-02-21T00:00:00"/>
        <d v="2025-05-10T00:00:00"/>
        <d v="2024-11-14T00:00:00"/>
        <d v="2024-11-22T00:00:00"/>
        <d v="2024-08-18T00:00:00"/>
        <d v="2025-06-30T00:00:00"/>
        <d v="2024-08-16T00:00:00"/>
        <d v="2024-08-22T00:00:00"/>
        <d v="2024-08-17T00:00:00"/>
        <d v="2025-05-31T00:00:00"/>
        <d v="2024-11-18T00:00:00"/>
        <d v="2025-06-26T00:00:00"/>
        <d v="2025-05-29T00:00:00"/>
        <d v="2024-11-17T00:00:00"/>
        <d v="2024-08-28T00:00:00"/>
        <d v="2025-03-19T00:00:00"/>
        <d v="2025-06-17T00:00:00"/>
        <d v="2025-05-21T00:00:00"/>
        <d v="2025-02-03T00:00:00"/>
        <d v="2024-11-29T00:00:00"/>
        <d v="2025-04-23T00:00:00"/>
        <d v="2024-08-11T00:00:00"/>
        <d v="2025-05-24T00:00:00"/>
        <d v="2025-04-09T00:00:00"/>
        <d v="2025-02-14T00:00:00"/>
        <d v="2024-11-16T00:00:00"/>
        <d v="2025-03-29T00:00:00"/>
        <d v="2025-02-26T00:00:00"/>
        <d v="2025-06-19T00:00:00"/>
        <d v="2025-06-16T00:00:00"/>
        <d v="2025-04-27T00:00:00"/>
        <d v="2024-10-30T00:00:00"/>
        <d v="2025-03-17T00:00:00"/>
        <d v="2024-11-20T00:00:00"/>
        <d v="2025-01-27T00:00:00"/>
        <d v="2025-01-21T00:00:00"/>
        <d v="2024-09-25T00:00:00"/>
        <d v="2025-03-27T00:00:00"/>
        <d v="2024-08-10T00:00:00"/>
        <d v="2025-03-31T00:00:00"/>
        <d v="2024-11-21T00:00:00"/>
        <d v="2025-01-04T00:00:00"/>
        <d v="2024-08-27T00:00:00"/>
        <d v="2025-02-06T00:00:00"/>
        <d v="2024-11-03T00:00:00"/>
        <d v="2025-01-15T00:00:00"/>
        <d v="2024-12-24T00:00:00"/>
        <d v="2024-12-14T00:00:00"/>
        <d v="2025-04-20T00:00:00"/>
        <d v="2025-05-13T00:00:00"/>
        <d v="2025-06-18T00:00:00"/>
        <d v="2025-05-08T00:00:00"/>
        <d v="2024-12-17T00:00:00"/>
        <d v="2024-11-04T00:00:00"/>
        <d v="2024-11-19T00:00:00"/>
        <d v="2024-08-26T00:00:00"/>
        <d v="2025-05-05T00:00:00"/>
        <d v="2025-03-01T00:00:00"/>
        <d v="2025-03-03T00:00:00"/>
        <d v="2025-01-02T00:00:00"/>
        <d v="2025-02-04T00:00:00"/>
        <d v="2024-12-25T00:00:00"/>
        <d v="2025-01-16T00:00:00"/>
        <d v="2024-08-20T00:00:00"/>
        <d v="2024-12-02T00:00:00"/>
        <d v="2024-09-17T00:00:00"/>
        <d v="2024-08-09T00:00:00"/>
        <d v="2024-12-22T00:00:00"/>
        <d v="2025-07-03T00:00:00"/>
        <d v="2025-01-19T00:00:00"/>
        <d v="2024-12-29T00:00:00"/>
        <d v="2024-09-03T00:00:00"/>
        <d v="2024-09-13T00:00:00"/>
        <d v="2025-03-18T00:00:00"/>
        <d v="2025-06-21T00:00:00"/>
        <d v="2024-10-23T00:00:00"/>
        <d v="2025-06-10T00:00:00"/>
        <d v="2024-12-11T00:00:00"/>
        <d v="2024-12-30T00:00:00"/>
        <d v="2024-09-01T00:00:00"/>
        <d v="2024-12-07T00:00:00"/>
        <d v="2024-09-09T00:00:00"/>
        <d v="2024-12-12T00:00:00"/>
        <d v="2024-08-04T00:00:00"/>
        <d v="2025-01-10T00:00:00"/>
        <d v="2024-09-10T00:00:00"/>
        <d v="2025-01-13T00:00:00"/>
        <d v="2025-02-16T00:00:00"/>
        <d v="2024-10-27T00:00:00"/>
        <d v="2025-01-14T00:00:00"/>
        <d v="2025-01-23T00:00:00"/>
        <d v="2025-03-07T00:00:00"/>
        <d v="2024-09-24T00:00:00"/>
        <d v="2024-10-03T00:00:00"/>
        <d v="2025-06-23T00:00:00"/>
        <d v="2024-12-04T00:00:00"/>
        <d v="2024-11-25T00:00:00"/>
        <d v="2025-06-14T00:00:00"/>
        <d v="2024-09-30T00:00:00"/>
        <d v="2025-05-03T00:00:00"/>
        <d v="2025-05-14T00:00:00"/>
        <d v="2025-06-07T00:00:00"/>
        <d v="2025-04-17T00:00:00"/>
        <d v="2024-09-28T00:00:00"/>
        <d v="2025-02-12T00:00:00"/>
        <d v="2025-07-14T00:00:00"/>
        <d v="2025-05-25T00:00:00"/>
        <d v="2025-02-13T00:00:00"/>
        <d v="2025-02-17T00:00:00"/>
        <d v="2024-12-19T00:00:00"/>
        <d v="2024-12-08T00:00:00"/>
        <d v="2025-02-25T00:00:00"/>
        <d v="2025-06-08T00:00:00"/>
        <d v="2024-08-13T00:00:00"/>
        <d v="2025-06-09T00:00:00"/>
        <d v="2025-07-08T00:00:00"/>
        <d v="2024-12-06T00:00:00"/>
        <d v="2025-02-24T00:00:00"/>
        <d v="2025-04-21T00:00:00"/>
        <d v="2025-07-17T00:00:00"/>
        <d v="2025-01-17T00:00:00"/>
        <d v="2025-04-29T00:00:00"/>
        <d v="2024-10-14T00:00:00"/>
        <d v="2024-09-14T00:00:00"/>
        <d v="2025-07-26T00:00:00"/>
        <d v="2025-07-10T00:00:00"/>
        <d v="2024-08-08T00:00:00"/>
        <d v="2025-07-13T00:00:00"/>
        <d v="2024-10-29T00:00:00"/>
        <d v="2025-02-05T00:00:00"/>
        <d v="2024-09-23T00:00:00"/>
        <d v="2025-03-23T00:00:00"/>
        <d v="2025-06-02T00:00:00"/>
        <d v="2025-01-30T00:00:00"/>
        <d v="2025-02-07T00:00:00"/>
        <d v="2025-03-02T00:00:00"/>
        <d v="2024-10-31T00:00:00"/>
        <d v="2025-06-01T00:00:00"/>
        <d v="2025-02-23T00:00:00"/>
        <d v="2025-05-01T00:00:00"/>
        <d v="2025-05-11T00:00:00"/>
        <d v="2024-07-30T00:00:00"/>
        <d v="2025-04-07T00:00:00"/>
        <d v="2024-10-13T00:00:00"/>
        <d v="2025-02-20T00:00:00"/>
        <d v="2025-07-20T00:00:00"/>
        <d v="2025-07-23T00:00:00"/>
        <d v="2024-11-10T00:00:00"/>
        <d v="2024-10-04T00:00:00"/>
        <d v="2024-10-07T00:00:00"/>
        <d v="2024-12-23T00:00:00"/>
        <d v="2025-07-07T00:00:00"/>
        <d v="2025-07-18T00:00:00"/>
        <d v="2024-12-20T00:00:00"/>
        <d v="2025-07-09T00:00:00"/>
        <d v="2024-08-03T00:00:00"/>
        <d v="2025-05-16T00:00:00"/>
        <d v="2025-03-09T00:00:00"/>
        <d v="2025-07-04T00:00:00"/>
        <d v="2024-12-21T00:00:00"/>
        <d v="2024-10-20T00:00:00"/>
        <d v="2025-07-16T00:00:00"/>
        <d v="2024-09-11T00:00:00"/>
        <d v="2025-04-05T00:00:00"/>
        <d v="2025-01-06T00:00:00"/>
        <d v="2025-03-06T00:00:00"/>
        <d v="2025-02-08T00:00:00"/>
        <d v="2024-08-29T00:00:00"/>
        <d v="2024-08-15T00:00:00"/>
        <d v="2024-11-27T00:00:00"/>
        <d v="2025-06-11T00:00:00"/>
        <d v="2025-04-16T00:00:00"/>
        <d v="2025-04-30T00:00:00"/>
        <d v="2025-01-11T00:00:00"/>
        <d v="2024-08-07T00:00:00"/>
        <d v="2025-05-28T00:00:00"/>
        <d v="2025-05-06T00:00:00"/>
        <d v="2024-09-06T00:00:00"/>
        <d v="2025-01-20T00:00:00"/>
        <d v="2025-06-03T00:00:00"/>
        <d v="2025-03-14T00:00:00"/>
        <d v="2024-07-31T00:00:00"/>
        <d v="2025-01-09T00:00:00"/>
        <d v="2024-10-18T00:00:00"/>
        <d v="2025-07-02T00:00:00"/>
        <d v="2025-05-07T00:00:00"/>
        <d v="2024-10-28T00:00:00"/>
        <d v="2025-05-23T00:00:00"/>
        <d v="2025-02-09T00:00:00"/>
        <d v="2024-12-26T00:00:00"/>
        <d v="2025-05-12T00:00:00"/>
        <d v="2025-06-04T00:00:00"/>
        <d v="2025-07-19T00:00:00"/>
        <d v="2024-12-13T00:00:00"/>
        <d v="2025-04-28T00:00:00"/>
        <d v="2024-08-31T00:00:00"/>
        <d v="2025-03-13T00:00:00"/>
        <d v="2024-12-10T00:00:00"/>
        <d v="2025-03-11T00:00:00"/>
        <d v="2024-11-05T00:00:00"/>
        <d v="2025-06-06T00:00:00"/>
        <d v="2025-01-26T00:00:00"/>
        <d v="2024-10-17T00:00:00"/>
        <d v="2024-08-02T00:00:00"/>
        <d v="2025-02-15T00:00:00"/>
        <d v="2025-05-22T00:00:00"/>
        <d v="2024-12-09T00:00:00"/>
        <d v="2025-06-13T00:00:00"/>
        <d v="2025-07-11T00:00:00"/>
        <d v="2025-05-04T00:00:00"/>
      </sharedItems>
      <fieldGroup par="13"/>
    </cacheField>
    <cacheField name="Customer Name" numFmtId="0">
      <sharedItems count="969">
        <s v="Patrick Sanchez"/>
        <s v="Megan Mcclain"/>
        <s v="Amanda Davis"/>
        <s v="Alyssa Gonzalez"/>
        <s v="Jennifer Cole"/>
        <s v="Abigail Shaffer"/>
        <s v="Donald Lewis"/>
        <s v="Brandon Davis"/>
        <s v="Dennis Williams"/>
        <s v="Valerie Gray"/>
        <s v="Mark Mcclure"/>
        <s v="Michele Williams"/>
        <s v="Victoria Wyatt"/>
        <s v="Donald Reid"/>
        <s v="Henry Santiago"/>
        <s v="Maria Lynch"/>
        <s v="Danielle Ford"/>
        <s v="Margaret Hawkins DDS"/>
        <s v="Amy Underwood"/>
        <s v="unknown customer"/>
        <s v="Emily Rios"/>
        <s v="Maria Thomas"/>
        <s v="Justin Baker"/>
        <s v="Kevin Cox"/>
        <s v="Ann Williams"/>
        <s v="Christopher Becker"/>
        <s v="James Ferrell"/>
        <s v="Juan Dunlap"/>
        <s v="Melanie Herrera"/>
        <s v="Gina Carter"/>
        <s v="Troy Liu"/>
        <s v="Pamela Romero"/>
        <s v="Elizabeth Fowler"/>
        <s v="James Martin"/>
        <s v="Tamara George"/>
        <s v="Timothy Koch"/>
        <s v="Cynthia Allen"/>
        <s v="Angelica Tucker"/>
        <s v="Kim Martinez"/>
        <s v="Joshua Baker"/>
        <s v="Tracey Hickman"/>
        <s v="Christina Collins"/>
        <s v="Jessica Holmes"/>
        <s v="Austin Smith"/>
        <s v="Daniel Jones"/>
        <s v="David Caldwell"/>
        <s v="Miranda Khan"/>
        <s v="Richard Aguirre"/>
        <s v="Matthew Gomez"/>
        <s v="Nicholas Nunez"/>
        <s v="James Morgan"/>
        <s v="Corey Herrera"/>
        <s v="Donald Wright"/>
        <s v="Robert Chase"/>
        <s v="Zachary Huff"/>
        <s v="Sarah Martin"/>
        <s v="Dr. Steven Martin"/>
        <s v="Mrs. Rachel Gibson"/>
        <s v="Monica Logan"/>
        <s v="Brittney Phillips"/>
        <s v="Kimberly Adkins"/>
        <s v="John Calhoun"/>
        <s v="Tyler Miller"/>
        <s v="Barry Hensley"/>
        <s v="Steve Sanchez"/>
        <s v="Bradley Sandoval"/>
        <s v="Taylor Harris"/>
        <s v="Derek Anderson"/>
        <s v="Eugene Walton"/>
        <s v="Marc Hart"/>
        <s v="Daniel Baker"/>
        <s v="Benjamin Sanchez"/>
        <s v="Dr. Kendra Contreras"/>
        <s v="Matthew Mcmillan"/>
        <s v="Steve Newton"/>
        <s v="Sarah Davis"/>
        <s v="Amanda Cook"/>
        <s v="Deborah Figueroa"/>
        <s v="Kristina Rodriguez"/>
        <s v="Brittany Johnson"/>
        <s v="Brittany Anderson"/>
        <s v="Timothy Stanton"/>
        <s v="Christine Wright"/>
        <s v="Justin Baxter"/>
        <s v="Tammy Young"/>
        <s v="Rita Keith"/>
        <s v="Tim Patton"/>
        <s v="Sharon Cochran"/>
        <s v="Michael Reyes"/>
        <s v="Courtney Velasquez"/>
        <s v="Robert Savage"/>
        <s v="Corey Murphy"/>
        <s v="Raymond Bell"/>
        <s v="William Herrera"/>
        <s v="Shawn Green"/>
        <s v="Deborah Rodriguez"/>
        <s v="Richard Graham"/>
        <s v="Steven Lee"/>
        <s v="April Frost"/>
        <s v="Teresa Mclaughlin"/>
        <s v="Benjamin Beck"/>
        <s v="Mary Martinez"/>
        <s v="Eric Ortiz"/>
        <s v="Kristen Lee"/>
        <s v="Megan Orr"/>
        <s v="Jennifer Bass"/>
        <s v="Jeffrey Carpenter"/>
        <s v="Jeremy Lowe"/>
        <s v="Steven Flynn"/>
        <s v="Diane Beck"/>
        <s v="Robert Potter"/>
        <s v="Robert Hernandez"/>
        <s v="John Atkinson"/>
        <s v="Stephen Johnston"/>
        <s v="Kathleen Sanchez"/>
        <s v="Stephanie Dalton"/>
        <s v="Jeffery Thompson"/>
        <s v="Amber Wright"/>
        <s v="Casey Marshall"/>
        <s v="Linda Dodson DVM"/>
        <s v="Stephanie Simmons"/>
        <s v="Stephanie Manning"/>
        <s v="Paul Larsen"/>
        <s v="Kelly Sims"/>
        <s v="Micheal Young"/>
        <s v="Joshua Taylor"/>
        <s v="Christian Lewis"/>
        <s v="Joshua Perry"/>
        <s v="Jean Carrillo"/>
        <s v="Spencer Johnston"/>
        <s v="Guy Molina"/>
        <s v="Sara Medina"/>
        <s v="Lindsey Walker"/>
        <s v="John Price"/>
        <s v="Jennifer Martin"/>
        <s v="Veronica Ferguson"/>
        <s v="Justin Johnson"/>
        <s v="Sean White"/>
        <s v="Daniel Murphy"/>
        <s v="Diana Bean"/>
        <s v="Bradley Smith"/>
        <s v="Trevor Walker"/>
        <s v="Marissa Webster"/>
        <s v="Alex Hernandez"/>
        <s v="Brian Gould"/>
        <s v="Pamela Jackson"/>
        <s v="Michelle Strickland"/>
        <s v="Ashley Johnson"/>
        <s v="Susan Brooks"/>
        <s v="Angela Vaughn"/>
        <s v="Michael Turner"/>
        <s v="Barbara Riggs"/>
        <s v="Joseph Stanley"/>
        <s v="Gloria Atkinson"/>
        <s v="Jeffrey Cox PhD"/>
        <s v="Jessica Gross"/>
        <s v="Robert Medina"/>
        <s v="Roger Vargas"/>
        <s v="Sandra Miller"/>
        <s v="Paul Hudson"/>
        <s v="Allen Rosales"/>
        <s v="Mr. David Ramirez"/>
        <s v="Desiree Smith"/>
        <s v="Nathan Freeman"/>
        <s v="John Joseph"/>
        <s v="Anna Walker"/>
        <s v="Matthew Wood"/>
        <s v="Jessica Reese"/>
        <s v="Jesse Parker"/>
        <s v="Corey Wilson"/>
        <s v="Melissa Lee"/>
        <s v="Dr. William Warren"/>
        <s v="Dr. Elizabeth Ward"/>
        <s v="Joseph Hill"/>
        <s v="Melissa Martinez"/>
        <s v="Ashley Smith"/>
        <s v="Jeremiah Lopez"/>
        <s v="Scott Wilson"/>
        <s v="Benjamin Soto"/>
        <s v="Robert Avery"/>
        <s v="Bailey Duran DDS"/>
        <s v="Patricia James"/>
        <s v="Scott Branch"/>
        <s v="Amy Choi"/>
        <s v="Christine Clark"/>
        <s v="David Arnold"/>
        <s v="Jerry Wheeler"/>
        <s v="Dwayne Campbell"/>
        <s v="Michael Bradshaw"/>
        <s v="Leah Lara"/>
        <s v="Joshua Holland"/>
        <s v="Charles Brown"/>
        <s v="Paul Carroll"/>
        <s v="John Torres"/>
        <s v="Kathryn Snyder"/>
        <s v="Stacy Navarro"/>
        <s v="Brandon Hayden"/>
        <s v="Laurie Smith"/>
        <s v="Debra Williams"/>
        <s v="Joseph Ramos"/>
        <s v="Kevin Walters"/>
        <s v="Julie Ortiz"/>
        <s v="Shannon Rivera"/>
        <s v="Matthew Morales DDS"/>
        <s v="Ernest Morris"/>
        <s v="Jose Travis"/>
        <s v="Peter Garrett"/>
        <s v="Michael Martinez"/>
        <s v="Cynthia Moore"/>
        <s v="Jason Walker"/>
        <s v="Julia Wilson"/>
        <s v="Timothy Carter"/>
        <s v="Ruben Baird"/>
        <s v="Charles Lee"/>
        <s v="Sherry Shields"/>
        <s v="Sarah Morgan"/>
        <s v="Samantha Campbell"/>
        <s v="Lauren Keller"/>
        <s v="Jamie Cantu"/>
        <s v="Michael Armstrong"/>
        <s v="Jennifer Flores"/>
        <s v="Marissa Hernandez"/>
        <s v="Vincent Rivera"/>
        <s v="Jessica Fox"/>
        <s v="Charles Pitts"/>
        <s v="Richard Baker"/>
        <s v="Marie Christian"/>
        <s v="Kimberly Finley"/>
        <s v="Olivia Brennan"/>
        <s v="Cynthia Cohen"/>
        <s v="Nicole Hamilton MD"/>
        <s v="Ashlee Jackson"/>
        <s v="Amber Flynn"/>
        <s v="Jeffrey Sanchez"/>
        <s v="Rebecca Jackson"/>
        <s v="Janet Vega"/>
        <s v="Briana Murray"/>
        <s v="Michael Nolan"/>
        <s v="Megan Moore"/>
        <s v="Victoria Evans"/>
        <s v="Joyce Turner"/>
        <s v="Ashley James"/>
        <s v="Wendy Phillips"/>
        <s v="Denise Knight"/>
        <s v="Valerie Lozano"/>
        <s v="Tanner Mitchell DDS"/>
        <s v="Colleen Lee"/>
        <s v="Michelle Hopkins"/>
        <s v="Brent Burton"/>
        <s v="Jeremiah Riley"/>
        <s v="Theodore Murphy"/>
        <s v="Carlos Ryan"/>
        <s v="Susan Rivas"/>
        <s v="Terry Coffey"/>
        <s v="Gina Wilson"/>
        <s v="Vincent Dalton"/>
        <s v="Jennifer Singleton"/>
        <s v="Richard Smith"/>
        <s v="Jacob Curry"/>
        <s v="Samantha Bentley"/>
        <s v="Kaitlyn Harvey"/>
        <s v="Leonard Holland"/>
        <s v="Susan Turner"/>
        <s v="Andrew Johnson"/>
        <s v="David Medina"/>
        <s v="Michael Paul"/>
        <s v="Patrick Moore"/>
        <s v="Amanda Wood"/>
        <s v="David Cox"/>
        <s v="Colton Martinez"/>
        <s v="Anna Lewis"/>
        <s v="Alison Buchanan"/>
        <s v="Rachel Harris DVM"/>
        <s v="Daniel Kane"/>
        <s v="Rachel Carlson"/>
        <s v="Brianna Anderson"/>
        <s v="Ashley Delacruz"/>
        <s v="Richard Young"/>
        <s v="Derek Martinez"/>
        <s v="Nichole Alvarez"/>
        <s v="Kevin Hayes"/>
        <s v="Amanda Logan"/>
        <s v="Elizabeth Schneider"/>
        <s v="John Morales"/>
        <s v="Micheal Wallace"/>
        <s v="Lee Jones"/>
        <s v="Lauren Joseph"/>
        <s v="Kerry Chavez DDS"/>
        <s v="Ashley Pena"/>
        <s v="Michelle Lewis"/>
        <s v="Jennifer Wilcox"/>
        <s v="Brandon Simmons"/>
        <s v="Troy Mcdaniel"/>
        <s v="Ronald Davis"/>
        <s v="Jacqueline Anderson"/>
        <s v="Kristina Rivera"/>
        <s v="Shane Pugh"/>
        <s v="Michelle Schmitt"/>
        <s v="Brian Romero"/>
        <s v="Courtney Rodriguez"/>
        <s v="Ashley Ramirez"/>
        <s v="Sarah Villegas"/>
        <s v="Megan Hawkins"/>
        <s v="Phillip Dorsey"/>
        <s v="Sergio Knight"/>
        <s v="Patrick Bonilla"/>
        <s v="Cindy Barnes"/>
        <s v="Eric Nguyen"/>
        <s v="Angela Williams"/>
        <s v="Amber Miller"/>
        <s v="Karla Ramos"/>
        <s v="Jose Reed"/>
        <s v="Michael Tucker"/>
        <s v="Daniel Joyce"/>
        <s v="Eric Clark"/>
        <s v="Donna Wilson"/>
        <s v="Casey James"/>
        <s v="Justin Barnett"/>
        <s v="Scott Williams"/>
        <s v="Blake Edwards"/>
        <s v="Michelle Butler"/>
        <s v="Vincent Jackson"/>
        <s v="Michael Cox"/>
        <s v="Dana Chapman"/>
        <s v="Seth Reese"/>
        <s v="Christopher Dixon"/>
        <s v="Cheyenne Parsons"/>
        <s v="Sabrina Briggs"/>
        <s v="David Thompson"/>
        <s v="Mary Thompson"/>
        <s v="Julie Elliott"/>
        <s v="Thomas Cunningham"/>
        <s v="Mrs. Tricia Stewart"/>
        <s v="Jeremy Turner"/>
        <s v="Heather Jones"/>
        <s v="Anthony Decker"/>
        <s v="Vanessa Davis"/>
        <s v="Julie Spencer"/>
        <s v="Amanda Stout"/>
        <s v="Erica Alvarez"/>
        <s v="Joanna Shepherd"/>
        <s v="Miguel Wagner"/>
        <s v="Michael Ritter"/>
        <s v="Caitlin Watson"/>
        <s v="Raymond Shelton"/>
        <s v="Maria Jones"/>
        <s v="Jasmine King"/>
        <s v="Susan Marks"/>
        <s v="Matthew Rangel"/>
        <s v="Melissa Myers"/>
        <s v="Angela Hansen"/>
        <s v="Robin Santiago"/>
        <s v="Yolanda Gaines"/>
        <s v="Jessica Cox"/>
        <s v="Trevor Peterson"/>
        <s v="Mr. Chad Jones"/>
        <s v="Katie Fernandez"/>
        <s v="Amanda Rogers"/>
        <s v="Linda Moore"/>
        <s v="Patricia Lamb"/>
        <s v="Amanda Diaz"/>
        <s v="Jeremy Mitchell"/>
        <s v="Stephanie Lee"/>
        <s v="Victoria Murray"/>
        <s v="Kathryn Barnes"/>
        <s v="Rebecca Taylor"/>
        <s v="John Watson"/>
        <s v="Ryan Rosales"/>
        <s v="Christopher Cole"/>
        <s v="Jeffrey Potts"/>
        <s v="Stacey Arias"/>
        <s v="Jonathan Young"/>
        <s v="Alfred Galvan"/>
        <s v="Gabriela Thomas"/>
        <s v="Ronald Horton"/>
        <s v="Julie Gilbert"/>
        <s v="David Conley"/>
        <s v="Lisa Henderson"/>
        <s v="Eric Williams"/>
        <s v="Lisa Brown"/>
        <s v="Linda Smith"/>
        <s v="Michelle Carter"/>
        <s v="Cynthia Butler"/>
        <s v="Kelly Ward"/>
        <s v="Rachel Romero"/>
        <s v="John Reid"/>
        <s v="Alan Kramer"/>
        <s v="Matthew Garcia"/>
        <s v="Evelyn Williams"/>
        <s v="Marvin Greer"/>
        <s v="Michael Welch"/>
        <s v="Mike Acevedo"/>
        <s v="Andrew Gonzalez"/>
        <s v="Eric Sanders"/>
        <s v="Dawn Mullins"/>
        <s v="Caleb Richardson"/>
        <s v="Jeremiah Huber"/>
        <s v="Kathleen Jimenez"/>
        <s v="Debra Miller"/>
        <s v="Lance Short"/>
        <s v="Brian Murphy"/>
        <s v="Lance Simmons"/>
        <s v="Jeremy Acosta"/>
        <s v="Zachary Hill"/>
        <s v="Angela Walsh"/>
        <s v="Nicole Moore"/>
        <s v="Lawrence Harrington"/>
        <s v="David Brewer"/>
        <s v="Keith Jacobs"/>
        <s v="Jacob Wallace"/>
        <s v="Kendra Sanders"/>
        <s v="Tyler Johnson"/>
        <s v="Mr. Justin Green III"/>
        <s v="Logan Benson"/>
        <s v="Chad Jones"/>
        <s v="Jill Miller"/>
        <s v="Victoria Contreras"/>
        <s v="Joshua Vance"/>
        <s v="Michael Graves"/>
        <s v="Katie Martinez"/>
        <s v="Cynthia Snyder"/>
        <s v="Jackie Lara"/>
        <s v="Stephen Jones"/>
        <s v="Dr. Kelly Hammond DVM"/>
        <s v="Evan Jones"/>
        <s v="Haley Humphrey"/>
        <s v="Laurie Saunders"/>
        <s v="Thomas Brown"/>
        <s v="Hannah Everett"/>
        <s v="Blake Gonzalez"/>
        <s v="Mario Mendez"/>
        <s v="Caroline David"/>
        <s v="Marcus Winters"/>
        <s v="Kristy Bryan"/>
        <s v="Travis Wise"/>
        <s v="Pamela Butler"/>
        <s v="Stephen Gardner"/>
        <s v="Karen Ballard"/>
        <s v="Jesse Barker"/>
        <s v="John Harris"/>
        <s v="Scott Flores"/>
        <s v="James Hodges"/>
        <s v="Emma Owens"/>
        <s v="Charles Williams"/>
        <s v="Jennifer Estes"/>
        <s v="Garrett Lane"/>
        <s v="Christopher Ferrell"/>
        <s v="Mr. Alexander Landry MD"/>
        <s v="Harry Williams"/>
        <s v="Sarah Chambers"/>
        <s v="Sarah Jordan"/>
        <s v="Jacob Powell"/>
        <s v="Kelly Lee"/>
        <s v="James Cole"/>
        <s v="William Becker"/>
        <s v="Brent Brooks"/>
        <s v="Holly Thomas"/>
        <s v="Kathryn Williams"/>
        <s v="Regina Stone"/>
        <s v="Kaylee Murphy"/>
        <s v="James Jensen"/>
        <s v="George Clayton"/>
        <s v="Justin Wells Jr."/>
        <s v="Veronica Silva"/>
        <s v="Shelby Soto"/>
        <s v="Walter Patton"/>
        <s v="Crystal Williams"/>
        <s v="Mark Harvey"/>
        <s v="Roberto Allen"/>
        <s v="Jason Harris"/>
        <s v="Tami Salas"/>
        <s v="Michele Stone"/>
        <s v="Matthew Fox"/>
        <s v="Julia Patel"/>
        <s v="Raymond Le"/>
        <s v="Deborah Washington"/>
        <s v="Edwin David"/>
        <s v="Michele Vaughn"/>
        <s v="Gregory Peck"/>
        <s v="Donna Berry"/>
        <s v="William Cardenas"/>
        <s v="Donna Roberts"/>
        <s v="Thomas Douglas"/>
        <s v="Dale Ryan"/>
        <s v="Denise Rodriguez"/>
        <s v="Dana Santiago"/>
        <s v="David Garcia"/>
        <s v="Ashlee Townsend"/>
        <s v="Vanessa Moore"/>
        <s v="Sherry Woods"/>
        <s v="Donna Mitchell"/>
        <s v="Ann Andrews"/>
        <s v="Sarah Johnson"/>
        <s v="Stephen Thompson"/>
        <s v="Russell French"/>
        <s v="Tonya Howe"/>
        <s v="Edwin Morrison"/>
        <s v="Mrs. Virginia Daniels"/>
        <s v="Brandi Gordon"/>
        <s v="Brian Martin"/>
        <s v="Michelle Smith"/>
        <s v="Laura Todd"/>
        <s v="Margaret Sullivan"/>
        <s v="Angie Caldwell"/>
        <s v="Mrs. Taylor Smith"/>
        <s v="Paul Finley"/>
        <s v="Amy Wilson"/>
        <s v="Michael Leblanc"/>
        <s v="Emily Wilson"/>
        <s v="Holly Walker"/>
        <s v="Jesse Zhang"/>
        <s v="Joshua Ruiz"/>
        <s v="Samantha Gill"/>
        <s v="Shelley Miller"/>
        <s v="Heidi Stark"/>
        <s v="Joshua Wagner"/>
        <s v="Carmen Bond"/>
        <s v="Daniel Aguilar"/>
        <s v="Jill Brown"/>
        <s v="Joyce Brown"/>
        <s v="Elizabeth Johnson"/>
        <s v="Nichole Lane"/>
        <s v="Michael Weaver"/>
        <s v="Andrea Peck"/>
        <s v="Christopher Taylor"/>
        <s v="Sergio Knox"/>
        <s v="Victor Baxter"/>
        <s v="Hannah White"/>
        <s v="Cameron Irwin"/>
        <s v="Alexander Evans"/>
        <s v="Jessica Gray"/>
        <s v="Gregory Hill"/>
        <s v="Pamela Johnson"/>
        <s v="Ralph Stephenson"/>
        <s v="Austin Wheeler"/>
        <s v="Jeffrey Fernandez"/>
        <s v="Amy Gordon"/>
        <s v="Thomas Johnston"/>
        <s v="Megan Flores"/>
        <s v="Victoria Boyd"/>
        <s v="Antonio Fry"/>
        <s v="Casey Shelton"/>
        <s v="William David DDS"/>
        <s v="Melissa Russell"/>
        <s v="Paul Wells"/>
        <s v="Scott Thomas"/>
        <s v="Kristina Faulkner"/>
        <s v="Jasmine Scott"/>
        <s v="Tammy Boone"/>
        <s v="Sandra Williams"/>
        <s v="Lindsey Russo"/>
        <s v="Laurie Powers"/>
        <s v="Sean Cook"/>
        <s v="Timothy Hayden"/>
        <s v="Nicole Rocha"/>
        <s v="Christine Herman"/>
        <s v="Douglas Owens"/>
        <s v="Dennis Hunt"/>
        <s v="Robert Bowen"/>
        <s v="Suzanne Wood"/>
        <s v="Sean Figueroa"/>
        <s v="Timothy Riley"/>
        <s v="Craig Hall"/>
        <s v="Kathryn Pena"/>
        <s v="Phillip Burns"/>
        <s v="Katherine Jackson"/>
        <s v="Charles Payne"/>
        <s v="Kimberly May"/>
        <s v="Sara Jones"/>
        <s v="Pamela Gutierrez"/>
        <s v="Andrea Hernandez"/>
        <s v="Jacqueline Williamson"/>
        <s v="Susan Hopkins"/>
        <s v="Juan Smith"/>
        <s v="Kimberly Mitchell"/>
        <s v="Megan Drake"/>
        <s v="Thomas Warren"/>
        <s v="Joseph Ochoa"/>
        <s v="Angela Chung"/>
        <s v="Wanda Perez"/>
        <s v="Angela Frey"/>
        <s v="Anna Gray"/>
        <s v="Mark Warner"/>
        <s v="Mr. Richard Knight PhD"/>
        <s v="Tamara Hall"/>
        <s v="Stacy Alvarez"/>
        <s v="Melinda Ramirez"/>
        <s v="Amanda Mcfarland"/>
        <s v="Daniel Thomas"/>
        <s v="Jennifer Jones"/>
        <s v="Lacey Atkinson"/>
        <s v="Evelyn Campos"/>
        <s v="Melissa Miller"/>
        <s v="Amy Kim"/>
        <s v="Larry Austin"/>
        <s v="Raymond Johnson"/>
        <s v="Joanne Perez"/>
        <s v="Jessica Frazier"/>
        <s v="Raymond Phillips"/>
        <s v="Angela Moore"/>
        <s v="Brittany Price"/>
        <s v="Aaron Parker"/>
        <s v="Ashley Miller"/>
        <s v="Justin Russell"/>
        <s v="Julian Carlson"/>
        <s v="James Carter"/>
        <s v="Misty Hansen"/>
        <s v="Carolyn James"/>
        <s v="Derrick Thomas"/>
        <s v="Jason Washington"/>
        <s v="Tony Le"/>
        <s v="Christina Rodriguez"/>
        <s v="James Skinner"/>
        <s v="Erin Cook"/>
        <s v="Marilyn Wheeler"/>
        <s v="Travis Harris"/>
        <s v="James Flores"/>
        <s v="Katherine Johnston"/>
        <s v="Douglas Hartman"/>
        <s v="Justin Vargas"/>
        <s v="Randall Johnson"/>
        <s v="Michael Gonzales"/>
        <s v="Andrea Abbott"/>
        <s v="Jonathan Schultz"/>
        <s v="Christian Henderson"/>
        <s v="William Mendoza"/>
        <s v="Tammy Kane"/>
        <s v="Rachel Ward"/>
        <s v="Linda Rocha"/>
        <s v="Mary Kelly"/>
        <s v="Kristine Newman"/>
        <s v="Paul Sheppard"/>
        <s v="Brett Walker"/>
        <s v="Lauren Johnston"/>
        <s v="Joel Frazier"/>
        <s v="Haley Johnson"/>
        <s v="Thomas Miller"/>
        <s v="Brenda Collins"/>
        <s v="Kelly Bailey"/>
        <s v="Michael Flores"/>
        <s v="Michael Johnson"/>
        <s v="Megan Martin"/>
        <s v="Christopher Moore"/>
        <s v="Joel Salinas"/>
        <s v="Martin Reynolds"/>
        <s v="Sonya Cole"/>
        <s v="Michael Harris"/>
        <s v="Rebecca Ray"/>
        <s v="Chelsea Nguyen"/>
        <s v="Michael Burns"/>
        <s v="James Long"/>
        <s v="Ryan Williamson"/>
        <s v="Rebecca Sellers"/>
        <s v="Cesar Wilson"/>
        <s v="James Thomas"/>
        <s v="Chad Reyes"/>
        <s v="Mr. Thomas Arias"/>
        <s v="Katherine Taylor"/>
        <s v="Lisa Glenn"/>
        <s v="Mr. James Hoffman"/>
        <s v="Michael Perry PhD"/>
        <s v="Keith Flynn"/>
        <s v="Donald Medina"/>
        <s v="Krystal Barton"/>
        <s v="Ashley Wilson"/>
        <s v="Wendy Weaver"/>
        <s v="Nathan Payne"/>
        <s v="Ronald Potter"/>
        <s v="Amanda Baker"/>
        <s v="Jessica Mcknight"/>
        <s v="Christine Rojas"/>
        <s v="Michael Chen"/>
        <s v="Rachel Li"/>
        <s v="Gregory Campbell"/>
        <s v="William Carter"/>
        <s v="Scott Duke"/>
        <s v="Brandy Brady"/>
        <s v="Wendy Camacho"/>
        <s v="Brandi Thomas"/>
        <s v="Pam Lowe"/>
        <s v="Mark Burton"/>
        <s v="Mark Beard"/>
        <s v="Paul Neal"/>
        <s v="Travis Murphy"/>
        <s v="Melissa Horn"/>
        <s v="Claudia Jordan"/>
        <s v="Frank Campbell MD"/>
        <s v="Karina Cooper"/>
        <s v="Amber Sims"/>
        <s v="Caleb Mathews"/>
        <s v="William Patterson"/>
        <s v="Sonia Turner"/>
        <s v="Denise Pena"/>
        <s v="Matthew Banks"/>
        <s v="Eric Lyons"/>
        <s v="Casey Perez"/>
        <s v="Adam Cooper"/>
        <s v="Jennifer Anderson MD"/>
        <s v="Robert Garcia"/>
        <s v="Breanna Ayala"/>
        <s v="Margaret Byrd"/>
        <s v="Alejandra Santos"/>
        <s v="Daniel Goodman"/>
        <s v="Michael Heath"/>
        <s v="Brenda Martinez"/>
        <s v="Victor Edwards"/>
        <s v="Matthew Wright"/>
        <s v="Lisa Maxwell"/>
        <s v="Ryan Liu"/>
        <s v="Katrina Adkins"/>
        <s v="Rachel Leon"/>
        <s v="Brian Porter MD"/>
        <s v="Alexandria Ward"/>
        <s v="Scott Carroll"/>
        <s v="Kevin Smith"/>
        <s v="Antonio Mccormick"/>
        <s v="Micheal Wang"/>
        <s v="Angela Herrera"/>
        <s v="Bradley Miller"/>
        <s v="Robert Herrera"/>
        <s v="Pamela Santos"/>
        <s v="Michael Blair"/>
        <s v="David Middleton"/>
        <s v="Lee Parker"/>
        <s v="Casey Smith"/>
        <s v="Carla Benton"/>
        <s v="Samantha Green"/>
        <s v="Richard Adams"/>
        <s v="Steven Rogers"/>
        <s v="Austin Joseph"/>
        <s v="Kathleen Dixon"/>
        <s v="Mr. Jacob Scott Jr."/>
        <s v="Ashley Yang"/>
        <s v="Scott Sanchez"/>
        <s v="Thomas White"/>
        <s v="Robert Klein"/>
        <s v="Frank Butler"/>
        <s v="Roger Duncan"/>
        <s v="Stephanie White"/>
        <s v="Amber Morales"/>
        <s v="Douglas Kirk"/>
        <s v="Jesus Wood"/>
        <s v="Elizabeth Dean"/>
        <s v="Wesley Cuevas"/>
        <s v="Steven Hodges"/>
        <s v="Timothy Johnson"/>
        <s v="Ryan Wiley"/>
        <s v="Matthew Sweeney"/>
        <s v="Daniel Bird"/>
        <s v="Anthony Shea DDS"/>
        <s v="David Bruce"/>
        <s v="Jacqueline Villegas"/>
        <s v="Kathy Walsh"/>
        <s v="Keith Graham"/>
        <s v="Dean Edwards"/>
        <s v="Ronnie Nguyen"/>
        <s v="Benjamin Harris"/>
        <s v="Ashley Garcia"/>
        <s v="Jason Herrera"/>
        <s v="Eric Baker"/>
        <s v="Robert Torres"/>
        <s v="Amanda Huff"/>
        <s v="Michael Schmitt"/>
        <s v="Megan Green"/>
        <s v="Jared Chavez"/>
        <s v="Anna Garcia"/>
        <s v="Adam Greer"/>
        <s v="Rodney Watson"/>
        <s v="Angela Willis"/>
        <s v="Alison Brown"/>
        <s v="Rhonda Davis"/>
        <s v="Erin Williams"/>
        <s v="Thomas Hamilton"/>
        <s v="Allen Vega"/>
        <s v="Terry Hill"/>
        <s v="Amanda Harvey"/>
        <s v="Kathleen Andrade"/>
        <s v="Douglas Taylor"/>
        <s v="Rebecca Wright"/>
        <s v="Alicia Reyes"/>
        <s v="Joshua Washington"/>
        <s v="Erica Nelson"/>
        <s v="Daniel Huang"/>
        <s v="Robert Ruiz"/>
        <s v="Yvonne Dickson"/>
        <s v="David Ferguson"/>
        <s v="Amy Davies"/>
        <s v="Vickie Price"/>
        <s v="Sarah Thompson"/>
        <s v="Oscar Howard"/>
        <s v="Michael Meza"/>
        <s v="Travis Copeland"/>
        <s v="Katherine Parker"/>
        <s v="Anthony Guzman"/>
        <s v="April Hardin"/>
        <s v="Gina Thompson"/>
        <s v="Erica Johnson"/>
        <s v="Brenda Rodriguez"/>
        <s v="Toni Brooks"/>
        <s v="Laurie Rogers"/>
        <s v="Christopher Fry"/>
        <s v="Katelyn Stewart"/>
        <s v="Melissa Mcfarland"/>
        <s v="Max Olsen"/>
        <s v="Michael Anderson"/>
        <s v="Michael Berry"/>
        <s v="Traci Johnson DDS"/>
        <s v="Lisa Bowman"/>
        <s v="Brenda Mcgee"/>
        <s v="Francisco Fields"/>
        <s v="Meagan Daniel"/>
        <s v="Derek Wright"/>
        <s v="Richard Le"/>
        <s v="Nicholas Costa"/>
        <s v="Stephen Bell"/>
        <s v="John Shields"/>
        <s v="Courtney Hayes"/>
        <s v="Christopher Bennett"/>
        <s v="Tom Spence"/>
        <s v="Lisa Webb"/>
        <s v="Matthew Lawson"/>
        <s v="Brian Harris"/>
        <s v="Julian Frost"/>
        <s v="Douglas Young"/>
        <s v="Joshua Henry"/>
        <s v="Jeffrey Phillips"/>
        <s v="Karen Davis"/>
        <s v="Edgar Miller"/>
        <s v="Richard Ruiz"/>
        <s v="Anna Stephens"/>
        <s v="James Lopez"/>
        <s v="John Perez"/>
        <s v="Brittany Horton"/>
        <s v="Kristen Randall"/>
        <s v="Tracie Mcdaniel"/>
        <s v="Stephen Alvarez"/>
        <s v="Scott Johnson"/>
        <s v="Rebecca Byrd"/>
        <s v="Travis Cole"/>
        <s v="Rhonda Martinez"/>
        <s v="Sandra Scott"/>
        <s v="Renee Miller"/>
        <s v="Gabriel Hill"/>
        <s v="Alexandria Graves"/>
        <s v="Jennifer Perry"/>
        <s v="Lauren Hanna"/>
        <s v="Kristine Garcia"/>
        <s v="Sheryl Humphrey"/>
        <s v="John Lynch"/>
        <s v="Jamie Montgomery"/>
        <s v="Amanda Preston"/>
        <s v="Amber Alvarez"/>
        <s v="Alicia Roth"/>
        <s v="Ryan Garrison"/>
        <s v="Sean Taylor"/>
        <s v="Roger Adams"/>
        <s v="Ann Alexander"/>
        <s v="Natalie Malone"/>
        <s v="Anthony Moody"/>
        <s v="Jonathon Taylor"/>
        <s v="Laura Thompson"/>
        <s v="Sara Wright"/>
        <s v="Isaac Gonzalez"/>
        <s v="Kathy Reid"/>
        <s v="Dana Burns"/>
        <s v="Seth Matthews"/>
        <s v="Ryan Green"/>
        <s v="Dominique Hughes"/>
        <s v="Penny Lewis"/>
        <s v="Megan Adams"/>
        <s v="Sharon Coffey"/>
        <s v="Courtney Franklin"/>
        <s v="Michelle Hill"/>
        <s v="Joseph Hanson"/>
        <s v="Jorge Bates"/>
        <s v="Kristina Wheeler"/>
        <s v="Brian Brown"/>
        <s v="Shannon Green"/>
        <s v="Marisa Lopez"/>
        <s v="Stephanie Trujillo"/>
        <s v="Mary Bright"/>
        <s v="Jennifer Doyle"/>
        <s v="Laura Lee"/>
        <s v="Melissa Little"/>
        <s v="Megan Romero"/>
        <s v="Matthew Grant"/>
        <s v="Carl Green"/>
        <s v="Susan Arroyo"/>
        <s v="Brandon Kelly"/>
        <s v="Jennifer Eaton"/>
        <s v="Edward York"/>
        <s v="Mark Carpenter"/>
        <s v="Steve Mason"/>
        <s v="Kendra Gutierrez"/>
        <s v="Brenda Gonzalez"/>
        <s v="Dr. Victoria Thomas"/>
        <s v="Peggy Freeman"/>
        <s v="Mrs. Amy Hayes"/>
        <s v="Caroline Duran"/>
        <s v="Penny Anderson"/>
        <s v="Jennifer Sanford"/>
        <s v="Joseph Cross"/>
        <s v="Nicole Schmidt"/>
        <s v="Lori Wright"/>
        <s v="Emily Garcia"/>
        <s v="Carol Colon"/>
        <s v="Joy Meyer"/>
        <s v="Stephen Cowan"/>
        <s v="Katherine Christensen MD"/>
        <s v="Jennifer Perez"/>
        <s v="Mrs. Alison Wagner"/>
        <s v="Matthew Johnson"/>
        <s v="Patricia Dean"/>
        <s v="Mary Valdez MD"/>
        <s v="Jeremy Martinez"/>
        <s v="Christian Neal"/>
        <s v="Jason Garcia"/>
        <s v="Larry Taylor"/>
        <s v="Kayla Williamson"/>
        <s v="Sandra Dudley"/>
        <s v="Elizabeth Williams"/>
        <s v="Melissa Castillo"/>
        <s v="Michael Meadows"/>
        <s v="Kathleen Herring"/>
        <s v="Misty Garcia"/>
        <s v="Joyce Madden"/>
        <s v="Brett Thompson"/>
        <s v="Heather Rhodes"/>
        <s v="Anna Chang"/>
        <s v="Charles Holland"/>
        <s v="Jeffrey Howell"/>
        <s v="Jacqueline Cooper"/>
        <s v="Victor Nelson"/>
        <s v="Karen Fisher"/>
        <s v="Ashley Horton"/>
        <s v="Dr. Ashley Pruitt"/>
        <s v="Meghan White"/>
        <s v="Lisa Huffman"/>
        <s v="Valerie Anderson"/>
        <s v="Michael Gregory"/>
        <s v="Misty Walker"/>
        <s v="Kelly Watts"/>
        <s v="Margaret Hernandez"/>
        <s v="Victoria Brown"/>
        <s v="Kathy Harrison"/>
        <s v="Angela Vasquez"/>
        <s v="Donald Hunter"/>
        <s v="Jennifer Young"/>
        <s v="Kenneth Miller"/>
        <s v="Bryan Jimenez"/>
        <s v="Jamie Johnson"/>
        <s v="Brandon Munoz"/>
        <s v="Stefanie Hart"/>
        <s v="Tiffany Cox"/>
        <s v="Sarah Rivera"/>
        <s v="Kara Sandoval"/>
        <s v="Brent Hopkins"/>
        <s v="Ronald Brandt"/>
        <s v="Jacqueline Rodriguez"/>
        <s v="Charles Love"/>
        <s v="David Gonzalez"/>
        <s v="Jenna Bryant"/>
        <s v="George Sherman"/>
        <s v="Sara Chapman"/>
        <s v="Judith Lawrence"/>
        <s v="Jonathan Moreno"/>
        <s v="Jessica Richards"/>
        <s v="Tammy Thompson"/>
        <s v="Sonya Gordon"/>
      </sharedItems>
    </cacheField>
    <cacheField name="Region" numFmtId="0">
      <sharedItems containsBlank="1" count="5">
        <s v="South"/>
        <s v="North"/>
        <s v="West"/>
        <s v="East"/>
        <m/>
      </sharedItems>
    </cacheField>
    <cacheField name="Product" numFmtId="0">
      <sharedItems count="15">
        <s v="Table Lamp"/>
        <s v="Wall Clock"/>
        <s v="Mouse"/>
        <s v="Laptop Stand"/>
        <s v="Curtain"/>
        <s v="Office Chair"/>
        <s v="Whiteboard"/>
        <s v="Pen Set"/>
        <s v="Bluetooth Speaker"/>
        <s v="Keyboard"/>
        <s v="USB Cable"/>
        <s v="Stapler"/>
        <s v="Mug Set"/>
        <s v="Cushion"/>
        <s v="Notebook"/>
      </sharedItems>
    </cacheField>
    <cacheField name="Category" numFmtId="0">
      <sharedItems count="3">
        <s v="Home"/>
        <s v="Tech"/>
        <s v="Office"/>
      </sharedItems>
    </cacheField>
    <cacheField name="Quantity" numFmtId="0">
      <sharedItems containsSemiMixedTypes="0" containsString="0" containsNumber="1" containsInteger="1" minValue="1" maxValue="10"/>
    </cacheField>
    <cacheField name="Price" numFmtId="0">
      <sharedItems containsSemiMixedTypes="0" containsString="0" containsNumber="1" minValue="100" maxValue="4500"/>
    </cacheField>
    <cacheField name="Discount" numFmtId="0">
      <sharedItems/>
    </cacheField>
    <cacheField name="Total" numFmtId="0">
      <sharedItems containsSemiMixedTypes="0" containsString="0" containsNumber="1" minValue="80" maxValue="45000"/>
    </cacheField>
    <cacheField name="disc%" numFmtId="0">
      <sharedItems containsSemiMixedTypes="0" containsString="0" containsNumber="1" minValue="0" maxValue="0.2"/>
    </cacheField>
    <cacheField name="Months (Date)" numFmtId="0" databaseField="0">
      <fieldGroup base="1">
        <rangePr groupBy="months" startDate="2024-07-28T00:00:00" endDate="2025-07-29T00:00:00"/>
        <groupItems count="14">
          <s v="&lt;28-07-2024"/>
          <s v="Jan"/>
          <s v="Feb"/>
          <s v="Mar"/>
          <s v="Apr"/>
          <s v="May"/>
          <s v="Jun"/>
          <s v="Jul"/>
          <s v="Aug"/>
          <s v="Sep"/>
          <s v="Oct"/>
          <s v="Nov"/>
          <s v="Dec"/>
          <s v="&gt;29-07-2025"/>
        </groupItems>
      </fieldGroup>
    </cacheField>
    <cacheField name="Quarters (Date)" numFmtId="0" databaseField="0">
      <fieldGroup base="1">
        <rangePr groupBy="quarters" startDate="2024-07-28T00:00:00" endDate="2025-07-29T00:00:00"/>
        <groupItems count="6">
          <s v="&lt;28-07-2024"/>
          <s v="Qtr1"/>
          <s v="Qtr2"/>
          <s v="Qtr3"/>
          <s v="Qtr4"/>
          <s v="&gt;29-07-2025"/>
        </groupItems>
      </fieldGroup>
    </cacheField>
    <cacheField name="Years (Date)" numFmtId="0" databaseField="0">
      <fieldGroup base="1">
        <rangePr groupBy="years" startDate="2024-07-28T00:00:00" endDate="2025-07-29T00:00:00"/>
        <groupItems count="4">
          <s v="&lt;28-07-2024"/>
          <s v="2024"/>
          <s v="2025"/>
          <s v="&gt;29-07-2025"/>
        </groupItems>
      </fieldGroup>
    </cacheField>
  </cacheFields>
  <extLst>
    <ext xmlns:x14="http://schemas.microsoft.com/office/spreadsheetml/2009/9/main" uri="{725AE2AE-9491-48be-B2B4-4EB974FC3084}">
      <x14:pivotCacheDefinition pivotCacheId="1818865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
    <x v="0"/>
    <x v="0"/>
    <x v="0"/>
    <x v="0"/>
    <x v="0"/>
    <n v="1"/>
    <n v="1000"/>
    <s v="5%"/>
    <n v="950"/>
    <n v="0.05"/>
  </r>
  <r>
    <n v="1001"/>
    <x v="1"/>
    <x v="1"/>
    <x v="1"/>
    <x v="0"/>
    <x v="0"/>
    <n v="10"/>
    <n v="2500"/>
    <s v="0%"/>
    <n v="25000"/>
    <n v="0"/>
  </r>
  <r>
    <n v="1002"/>
    <x v="2"/>
    <x v="2"/>
    <x v="2"/>
    <x v="1"/>
    <x v="0"/>
    <n v="9"/>
    <n v="1354.67"/>
    <s v="5%"/>
    <n v="11582.4285"/>
    <n v="0.05"/>
  </r>
  <r>
    <n v="1003"/>
    <x v="3"/>
    <x v="3"/>
    <x v="0"/>
    <x v="2"/>
    <x v="1"/>
    <n v="6"/>
    <n v="1000"/>
    <s v="5%"/>
    <n v="5700"/>
    <n v="0.05"/>
  </r>
  <r>
    <n v="1004"/>
    <x v="4"/>
    <x v="4"/>
    <x v="2"/>
    <x v="3"/>
    <x v="1"/>
    <n v="6"/>
    <n v="1000"/>
    <s v="0%"/>
    <n v="6000"/>
    <n v="0"/>
  </r>
  <r>
    <n v="1005"/>
    <x v="5"/>
    <x v="5"/>
    <x v="0"/>
    <x v="4"/>
    <x v="0"/>
    <n v="10"/>
    <n v="1500"/>
    <s v="20%"/>
    <n v="12000"/>
    <n v="0.2"/>
  </r>
  <r>
    <n v="1006"/>
    <x v="6"/>
    <x v="6"/>
    <x v="3"/>
    <x v="5"/>
    <x v="2"/>
    <n v="4"/>
    <n v="250"/>
    <s v="15%"/>
    <n v="850"/>
    <n v="0.15"/>
  </r>
  <r>
    <n v="1007"/>
    <x v="7"/>
    <x v="7"/>
    <x v="0"/>
    <x v="6"/>
    <x v="2"/>
    <n v="5"/>
    <n v="250"/>
    <s v="20%"/>
    <n v="1000"/>
    <n v="0.2"/>
  </r>
  <r>
    <n v="1008"/>
    <x v="8"/>
    <x v="8"/>
    <x v="0"/>
    <x v="7"/>
    <x v="2"/>
    <n v="4"/>
    <n v="1500"/>
    <s v="0%"/>
    <n v="6000"/>
    <n v="0"/>
  </r>
  <r>
    <n v="1009"/>
    <x v="9"/>
    <x v="9"/>
    <x v="2"/>
    <x v="8"/>
    <x v="1"/>
    <n v="10"/>
    <n v="1500"/>
    <s v="5%"/>
    <n v="14250"/>
    <n v="0.05"/>
  </r>
  <r>
    <n v="1010"/>
    <x v="10"/>
    <x v="10"/>
    <x v="2"/>
    <x v="6"/>
    <x v="2"/>
    <n v="4"/>
    <n v="1000"/>
    <s v="20%"/>
    <n v="3200"/>
    <n v="0.2"/>
  </r>
  <r>
    <n v="1011"/>
    <x v="11"/>
    <x v="11"/>
    <x v="1"/>
    <x v="9"/>
    <x v="1"/>
    <n v="8"/>
    <n v="250"/>
    <s v="0%"/>
    <n v="2000"/>
    <n v="0"/>
  </r>
  <r>
    <n v="1012"/>
    <x v="12"/>
    <x v="12"/>
    <x v="2"/>
    <x v="0"/>
    <x v="0"/>
    <n v="7"/>
    <n v="2500"/>
    <s v="20%"/>
    <n v="14000"/>
    <n v="0.2"/>
  </r>
  <r>
    <n v="1013"/>
    <x v="13"/>
    <x v="13"/>
    <x v="1"/>
    <x v="10"/>
    <x v="1"/>
    <n v="9"/>
    <n v="1354.67"/>
    <s v="10%"/>
    <n v="10972.827000000001"/>
    <n v="0.1"/>
  </r>
  <r>
    <n v="1014"/>
    <x v="14"/>
    <x v="14"/>
    <x v="1"/>
    <x v="4"/>
    <x v="0"/>
    <n v="9"/>
    <n v="300"/>
    <s v="20%"/>
    <n v="2160"/>
    <n v="0.2"/>
  </r>
  <r>
    <n v="1015"/>
    <x v="15"/>
    <x v="15"/>
    <x v="1"/>
    <x v="1"/>
    <x v="0"/>
    <n v="3"/>
    <n v="1500"/>
    <s v="5%"/>
    <n v="4275"/>
    <n v="0.05"/>
  </r>
  <r>
    <n v="1016"/>
    <x v="16"/>
    <x v="16"/>
    <x v="1"/>
    <x v="11"/>
    <x v="2"/>
    <n v="4"/>
    <n v="100"/>
    <s v="5%"/>
    <n v="380"/>
    <n v="0.05"/>
  </r>
  <r>
    <n v="1017"/>
    <x v="17"/>
    <x v="17"/>
    <x v="0"/>
    <x v="1"/>
    <x v="0"/>
    <n v="3"/>
    <n v="4500"/>
    <s v="20%"/>
    <n v="10800"/>
    <n v="0.2"/>
  </r>
  <r>
    <n v="1018"/>
    <x v="18"/>
    <x v="18"/>
    <x v="3"/>
    <x v="9"/>
    <x v="1"/>
    <n v="4"/>
    <n v="1000"/>
    <s v="15%"/>
    <n v="3400"/>
    <n v="0.15"/>
  </r>
  <r>
    <n v="1019"/>
    <x v="19"/>
    <x v="19"/>
    <x v="0"/>
    <x v="10"/>
    <x v="1"/>
    <n v="6"/>
    <n v="100"/>
    <s v="20%"/>
    <n v="480"/>
    <n v="0.2"/>
  </r>
  <r>
    <n v="1020"/>
    <x v="20"/>
    <x v="20"/>
    <x v="1"/>
    <x v="8"/>
    <x v="1"/>
    <n v="2"/>
    <n v="100"/>
    <s v="10%"/>
    <n v="180"/>
    <n v="0.1"/>
  </r>
  <r>
    <n v="1021"/>
    <x v="21"/>
    <x v="21"/>
    <x v="2"/>
    <x v="1"/>
    <x v="0"/>
    <n v="10"/>
    <n v="4500"/>
    <s v="5%"/>
    <n v="42750"/>
    <n v="0.05"/>
  </r>
  <r>
    <n v="1022"/>
    <x v="1"/>
    <x v="22"/>
    <x v="1"/>
    <x v="11"/>
    <x v="2"/>
    <n v="7"/>
    <n v="2500"/>
    <s v="15%"/>
    <n v="14875"/>
    <n v="0.15"/>
  </r>
  <r>
    <n v="1023"/>
    <x v="22"/>
    <x v="23"/>
    <x v="0"/>
    <x v="11"/>
    <x v="2"/>
    <n v="2"/>
    <n v="500"/>
    <s v="5%"/>
    <n v="950"/>
    <n v="0.05"/>
  </r>
  <r>
    <n v="1024"/>
    <x v="23"/>
    <x v="24"/>
    <x v="1"/>
    <x v="6"/>
    <x v="2"/>
    <n v="2"/>
    <n v="4500"/>
    <s v="20%"/>
    <n v="7200"/>
    <n v="0.2"/>
  </r>
  <r>
    <n v="1025"/>
    <x v="24"/>
    <x v="25"/>
    <x v="2"/>
    <x v="8"/>
    <x v="1"/>
    <n v="3"/>
    <n v="2500"/>
    <s v="15%"/>
    <n v="6375"/>
    <n v="0.15"/>
  </r>
  <r>
    <n v="1026"/>
    <x v="25"/>
    <x v="26"/>
    <x v="3"/>
    <x v="5"/>
    <x v="2"/>
    <n v="7"/>
    <n v="1000"/>
    <s v="15%"/>
    <n v="5950"/>
    <n v="0.15"/>
  </r>
  <r>
    <n v="1027"/>
    <x v="26"/>
    <x v="27"/>
    <x v="0"/>
    <x v="12"/>
    <x v="0"/>
    <n v="3"/>
    <n v="500"/>
    <s v="10%"/>
    <n v="1350"/>
    <n v="0.1"/>
  </r>
  <r>
    <n v="1028"/>
    <x v="27"/>
    <x v="28"/>
    <x v="2"/>
    <x v="4"/>
    <x v="0"/>
    <n v="1"/>
    <n v="100"/>
    <s v="20%"/>
    <n v="80"/>
    <n v="0.2"/>
  </r>
  <r>
    <n v="1029"/>
    <x v="28"/>
    <x v="29"/>
    <x v="1"/>
    <x v="0"/>
    <x v="0"/>
    <n v="3"/>
    <n v="250"/>
    <s v="20%"/>
    <n v="600"/>
    <n v="0.2"/>
  </r>
  <r>
    <n v="1030"/>
    <x v="29"/>
    <x v="30"/>
    <x v="1"/>
    <x v="1"/>
    <x v="0"/>
    <n v="10"/>
    <n v="100"/>
    <s v="20%"/>
    <n v="800"/>
    <n v="0.2"/>
  </r>
  <r>
    <n v="1031"/>
    <x v="30"/>
    <x v="31"/>
    <x v="2"/>
    <x v="6"/>
    <x v="2"/>
    <n v="6"/>
    <n v="500"/>
    <s v="10%"/>
    <n v="2700"/>
    <n v="0.1"/>
  </r>
  <r>
    <n v="1032"/>
    <x v="31"/>
    <x v="32"/>
    <x v="0"/>
    <x v="10"/>
    <x v="1"/>
    <n v="8"/>
    <n v="250"/>
    <s v="0%"/>
    <n v="2000"/>
    <n v="0"/>
  </r>
  <r>
    <n v="1033"/>
    <x v="32"/>
    <x v="33"/>
    <x v="2"/>
    <x v="8"/>
    <x v="1"/>
    <n v="6"/>
    <n v="1000"/>
    <s v="5%"/>
    <n v="5700"/>
    <n v="0.05"/>
  </r>
  <r>
    <n v="1034"/>
    <x v="33"/>
    <x v="34"/>
    <x v="0"/>
    <x v="13"/>
    <x v="0"/>
    <n v="1"/>
    <n v="1000"/>
    <s v="0%"/>
    <n v="1000"/>
    <n v="0"/>
  </r>
  <r>
    <n v="1035"/>
    <x v="34"/>
    <x v="35"/>
    <x v="0"/>
    <x v="3"/>
    <x v="1"/>
    <n v="5"/>
    <n v="500"/>
    <s v="10%"/>
    <n v="2250"/>
    <n v="0.1"/>
  </r>
  <r>
    <n v="1036"/>
    <x v="35"/>
    <x v="36"/>
    <x v="4"/>
    <x v="5"/>
    <x v="2"/>
    <n v="2"/>
    <n v="2500"/>
    <s v="10%"/>
    <n v="4500"/>
    <n v="0.1"/>
  </r>
  <r>
    <n v="1037"/>
    <x v="20"/>
    <x v="37"/>
    <x v="1"/>
    <x v="6"/>
    <x v="2"/>
    <n v="8"/>
    <n v="2500"/>
    <s v="20%"/>
    <n v="16000"/>
    <n v="0.2"/>
  </r>
  <r>
    <n v="1038"/>
    <x v="36"/>
    <x v="38"/>
    <x v="0"/>
    <x v="9"/>
    <x v="1"/>
    <n v="1"/>
    <n v="1500"/>
    <s v="20%"/>
    <n v="1200"/>
    <n v="0.2"/>
  </r>
  <r>
    <n v="1039"/>
    <x v="37"/>
    <x v="39"/>
    <x v="3"/>
    <x v="3"/>
    <x v="1"/>
    <n v="4"/>
    <n v="500"/>
    <s v="0%"/>
    <n v="2000"/>
    <n v="0"/>
  </r>
  <r>
    <n v="1040"/>
    <x v="38"/>
    <x v="40"/>
    <x v="4"/>
    <x v="1"/>
    <x v="0"/>
    <n v="4"/>
    <n v="300"/>
    <s v="5%"/>
    <n v="1140"/>
    <n v="0.05"/>
  </r>
  <r>
    <n v="1041"/>
    <x v="39"/>
    <x v="41"/>
    <x v="2"/>
    <x v="6"/>
    <x v="2"/>
    <n v="5"/>
    <n v="300"/>
    <s v="0%"/>
    <n v="1500"/>
    <n v="0"/>
  </r>
  <r>
    <n v="1042"/>
    <x v="40"/>
    <x v="42"/>
    <x v="1"/>
    <x v="11"/>
    <x v="2"/>
    <n v="5"/>
    <n v="500"/>
    <s v="5%"/>
    <n v="2375"/>
    <n v="0.05"/>
  </r>
  <r>
    <n v="1043"/>
    <x v="41"/>
    <x v="43"/>
    <x v="3"/>
    <x v="3"/>
    <x v="1"/>
    <n v="6"/>
    <n v="2500"/>
    <s v="20%"/>
    <n v="12000"/>
    <n v="0.2"/>
  </r>
  <r>
    <n v="1044"/>
    <x v="42"/>
    <x v="44"/>
    <x v="2"/>
    <x v="9"/>
    <x v="1"/>
    <n v="5"/>
    <n v="100"/>
    <s v="0%"/>
    <n v="500"/>
    <n v="0"/>
  </r>
  <r>
    <n v="1045"/>
    <x v="43"/>
    <x v="19"/>
    <x v="1"/>
    <x v="0"/>
    <x v="0"/>
    <n v="7"/>
    <n v="500"/>
    <s v="10%"/>
    <n v="3150"/>
    <n v="0.1"/>
  </r>
  <r>
    <n v="1046"/>
    <x v="44"/>
    <x v="45"/>
    <x v="3"/>
    <x v="1"/>
    <x v="0"/>
    <n v="6"/>
    <n v="2500"/>
    <s v="0%"/>
    <n v="15000"/>
    <n v="0"/>
  </r>
  <r>
    <n v="1047"/>
    <x v="45"/>
    <x v="46"/>
    <x v="2"/>
    <x v="7"/>
    <x v="2"/>
    <n v="5"/>
    <n v="2500"/>
    <s v="10%"/>
    <n v="11250"/>
    <n v="0.1"/>
  </r>
  <r>
    <n v="1048"/>
    <x v="46"/>
    <x v="47"/>
    <x v="1"/>
    <x v="12"/>
    <x v="0"/>
    <n v="3"/>
    <n v="1000"/>
    <s v="15%"/>
    <n v="2550"/>
    <n v="0.15"/>
  </r>
  <r>
    <n v="1049"/>
    <x v="47"/>
    <x v="48"/>
    <x v="0"/>
    <x v="4"/>
    <x v="0"/>
    <n v="8"/>
    <n v="4500"/>
    <s v="15%"/>
    <n v="30600"/>
    <n v="0.15"/>
  </r>
  <r>
    <n v="1050"/>
    <x v="48"/>
    <x v="49"/>
    <x v="3"/>
    <x v="1"/>
    <x v="0"/>
    <n v="2"/>
    <n v="1000"/>
    <s v="20%"/>
    <n v="1600"/>
    <n v="0.2"/>
  </r>
  <r>
    <n v="1051"/>
    <x v="49"/>
    <x v="50"/>
    <x v="1"/>
    <x v="6"/>
    <x v="2"/>
    <n v="4"/>
    <n v="300"/>
    <s v="0%"/>
    <n v="1200"/>
    <n v="0"/>
  </r>
  <r>
    <n v="1052"/>
    <x v="50"/>
    <x v="51"/>
    <x v="2"/>
    <x v="2"/>
    <x v="1"/>
    <n v="7"/>
    <n v="500"/>
    <s v="15%"/>
    <n v="2975"/>
    <n v="0.15"/>
  </r>
  <r>
    <n v="1053"/>
    <x v="1"/>
    <x v="52"/>
    <x v="2"/>
    <x v="2"/>
    <x v="1"/>
    <n v="4"/>
    <n v="300"/>
    <s v="20%"/>
    <n v="960"/>
    <n v="0.2"/>
  </r>
  <r>
    <n v="1054"/>
    <x v="51"/>
    <x v="53"/>
    <x v="2"/>
    <x v="6"/>
    <x v="2"/>
    <n v="8"/>
    <n v="1500"/>
    <s v="15%"/>
    <n v="10200"/>
    <n v="0.15"/>
  </r>
  <r>
    <n v="1055"/>
    <x v="52"/>
    <x v="54"/>
    <x v="3"/>
    <x v="12"/>
    <x v="0"/>
    <n v="8"/>
    <n v="1000"/>
    <s v="5%"/>
    <n v="7600"/>
    <n v="0.05"/>
  </r>
  <r>
    <n v="1056"/>
    <x v="53"/>
    <x v="55"/>
    <x v="3"/>
    <x v="14"/>
    <x v="2"/>
    <n v="2"/>
    <n v="1000"/>
    <s v="5%"/>
    <n v="1900"/>
    <n v="0.05"/>
  </r>
  <r>
    <n v="1057"/>
    <x v="54"/>
    <x v="56"/>
    <x v="1"/>
    <x v="8"/>
    <x v="1"/>
    <n v="7"/>
    <n v="300"/>
    <s v="5%"/>
    <n v="1995"/>
    <n v="0.05"/>
  </r>
  <r>
    <n v="1058"/>
    <x v="55"/>
    <x v="57"/>
    <x v="1"/>
    <x v="8"/>
    <x v="1"/>
    <n v="7"/>
    <n v="2500"/>
    <s v="20%"/>
    <n v="14000"/>
    <n v="0.2"/>
  </r>
  <r>
    <n v="1059"/>
    <x v="56"/>
    <x v="58"/>
    <x v="0"/>
    <x v="3"/>
    <x v="1"/>
    <n v="5"/>
    <n v="2500"/>
    <s v="15%"/>
    <n v="10625"/>
    <n v="0.15"/>
  </r>
  <r>
    <n v="1060"/>
    <x v="57"/>
    <x v="59"/>
    <x v="0"/>
    <x v="11"/>
    <x v="2"/>
    <n v="7"/>
    <n v="300"/>
    <s v="15%"/>
    <n v="1785"/>
    <n v="0.15"/>
  </r>
  <r>
    <n v="1061"/>
    <x v="58"/>
    <x v="60"/>
    <x v="0"/>
    <x v="13"/>
    <x v="0"/>
    <n v="1"/>
    <n v="250"/>
    <s v="15%"/>
    <n v="212.5"/>
    <n v="0.15"/>
  </r>
  <r>
    <n v="1062"/>
    <x v="58"/>
    <x v="61"/>
    <x v="2"/>
    <x v="6"/>
    <x v="2"/>
    <n v="8"/>
    <n v="1500"/>
    <s v="10%"/>
    <n v="10800"/>
    <n v="0.1"/>
  </r>
  <r>
    <n v="1063"/>
    <x v="59"/>
    <x v="62"/>
    <x v="0"/>
    <x v="2"/>
    <x v="1"/>
    <n v="1"/>
    <n v="100"/>
    <s v="10%"/>
    <n v="90"/>
    <n v="0.1"/>
  </r>
  <r>
    <n v="1064"/>
    <x v="60"/>
    <x v="63"/>
    <x v="0"/>
    <x v="8"/>
    <x v="1"/>
    <n v="4"/>
    <n v="100"/>
    <s v="20%"/>
    <n v="320"/>
    <n v="0.2"/>
  </r>
  <r>
    <n v="1065"/>
    <x v="61"/>
    <x v="64"/>
    <x v="1"/>
    <x v="2"/>
    <x v="1"/>
    <n v="5"/>
    <n v="1500"/>
    <s v="5%"/>
    <n v="7125"/>
    <n v="0.05"/>
  </r>
  <r>
    <n v="1066"/>
    <x v="62"/>
    <x v="65"/>
    <x v="0"/>
    <x v="0"/>
    <x v="0"/>
    <n v="5"/>
    <n v="2500"/>
    <s v="15%"/>
    <n v="10625"/>
    <n v="0.15"/>
  </r>
  <r>
    <n v="1067"/>
    <x v="63"/>
    <x v="66"/>
    <x v="1"/>
    <x v="3"/>
    <x v="1"/>
    <n v="10"/>
    <n v="250"/>
    <s v="20%"/>
    <n v="2000"/>
    <n v="0.2"/>
  </r>
  <r>
    <n v="1068"/>
    <x v="64"/>
    <x v="67"/>
    <x v="1"/>
    <x v="4"/>
    <x v="0"/>
    <n v="1"/>
    <n v="2500"/>
    <s v="15%"/>
    <n v="2125"/>
    <n v="0.15"/>
  </r>
  <r>
    <n v="1069"/>
    <x v="49"/>
    <x v="68"/>
    <x v="3"/>
    <x v="6"/>
    <x v="2"/>
    <n v="7"/>
    <n v="300"/>
    <s v="20%"/>
    <n v="1680"/>
    <n v="0.2"/>
  </r>
  <r>
    <n v="1070"/>
    <x v="65"/>
    <x v="69"/>
    <x v="0"/>
    <x v="14"/>
    <x v="2"/>
    <n v="10"/>
    <n v="1000"/>
    <s v="10%"/>
    <n v="9000"/>
    <n v="0.1"/>
  </r>
  <r>
    <n v="1071"/>
    <x v="52"/>
    <x v="70"/>
    <x v="1"/>
    <x v="2"/>
    <x v="1"/>
    <n v="10"/>
    <n v="2500"/>
    <s v="10%"/>
    <n v="22500"/>
    <n v="0.1"/>
  </r>
  <r>
    <n v="1072"/>
    <x v="66"/>
    <x v="71"/>
    <x v="3"/>
    <x v="11"/>
    <x v="2"/>
    <n v="6"/>
    <n v="1000"/>
    <s v="20%"/>
    <n v="4800"/>
    <n v="0.2"/>
  </r>
  <r>
    <n v="1073"/>
    <x v="67"/>
    <x v="19"/>
    <x v="2"/>
    <x v="2"/>
    <x v="1"/>
    <n v="8"/>
    <n v="500"/>
    <s v="15%"/>
    <n v="3400"/>
    <n v="0.15"/>
  </r>
  <r>
    <n v="1074"/>
    <x v="68"/>
    <x v="72"/>
    <x v="3"/>
    <x v="6"/>
    <x v="2"/>
    <n v="5"/>
    <n v="1500"/>
    <s v="15%"/>
    <n v="6375"/>
    <n v="0.15"/>
  </r>
  <r>
    <n v="1075"/>
    <x v="42"/>
    <x v="73"/>
    <x v="0"/>
    <x v="12"/>
    <x v="0"/>
    <n v="5"/>
    <n v="1000"/>
    <s v="10%"/>
    <n v="4500"/>
    <n v="0.1"/>
  </r>
  <r>
    <n v="1076"/>
    <x v="69"/>
    <x v="74"/>
    <x v="3"/>
    <x v="1"/>
    <x v="0"/>
    <n v="4"/>
    <n v="500"/>
    <s v="15%"/>
    <n v="1700"/>
    <n v="0.15"/>
  </r>
  <r>
    <n v="1077"/>
    <x v="70"/>
    <x v="19"/>
    <x v="3"/>
    <x v="5"/>
    <x v="2"/>
    <n v="4"/>
    <n v="1000"/>
    <s v="5%"/>
    <n v="3800"/>
    <n v="0.05"/>
  </r>
  <r>
    <n v="1078"/>
    <x v="71"/>
    <x v="19"/>
    <x v="2"/>
    <x v="5"/>
    <x v="2"/>
    <n v="1"/>
    <n v="1000"/>
    <s v="5%"/>
    <n v="950"/>
    <n v="0.05"/>
  </r>
  <r>
    <n v="1079"/>
    <x v="72"/>
    <x v="75"/>
    <x v="3"/>
    <x v="14"/>
    <x v="2"/>
    <n v="6"/>
    <n v="300"/>
    <s v="0%"/>
    <n v="1800"/>
    <n v="0"/>
  </r>
  <r>
    <n v="1080"/>
    <x v="56"/>
    <x v="76"/>
    <x v="0"/>
    <x v="14"/>
    <x v="2"/>
    <n v="2"/>
    <n v="100"/>
    <s v="5%"/>
    <n v="190"/>
    <n v="0.05"/>
  </r>
  <r>
    <n v="1081"/>
    <x v="73"/>
    <x v="77"/>
    <x v="0"/>
    <x v="10"/>
    <x v="1"/>
    <n v="9"/>
    <n v="2500"/>
    <s v="20%"/>
    <n v="18000"/>
    <n v="0.2"/>
  </r>
  <r>
    <n v="1082"/>
    <x v="10"/>
    <x v="78"/>
    <x v="1"/>
    <x v="7"/>
    <x v="2"/>
    <n v="7"/>
    <n v="1000"/>
    <s v="20%"/>
    <n v="5600"/>
    <n v="0.2"/>
  </r>
  <r>
    <n v="1083"/>
    <x v="74"/>
    <x v="79"/>
    <x v="0"/>
    <x v="8"/>
    <x v="1"/>
    <n v="5"/>
    <n v="1354.67"/>
    <s v="5%"/>
    <n v="6434.6824999999999"/>
    <n v="0.05"/>
  </r>
  <r>
    <n v="1084"/>
    <x v="75"/>
    <x v="80"/>
    <x v="0"/>
    <x v="7"/>
    <x v="2"/>
    <n v="8"/>
    <n v="1000"/>
    <s v="0%"/>
    <n v="8000"/>
    <n v="0"/>
  </r>
  <r>
    <n v="1085"/>
    <x v="76"/>
    <x v="81"/>
    <x v="1"/>
    <x v="8"/>
    <x v="1"/>
    <n v="5"/>
    <n v="500"/>
    <s v="15%"/>
    <n v="2125"/>
    <n v="0.15"/>
  </r>
  <r>
    <n v="1086"/>
    <x v="77"/>
    <x v="82"/>
    <x v="3"/>
    <x v="10"/>
    <x v="1"/>
    <n v="1"/>
    <n v="300"/>
    <s v="10%"/>
    <n v="270"/>
    <n v="0.1"/>
  </r>
  <r>
    <n v="1087"/>
    <x v="78"/>
    <x v="83"/>
    <x v="1"/>
    <x v="11"/>
    <x v="2"/>
    <n v="9"/>
    <n v="4500"/>
    <s v="15%"/>
    <n v="34425"/>
    <n v="0.15"/>
  </r>
  <r>
    <n v="1088"/>
    <x v="79"/>
    <x v="84"/>
    <x v="1"/>
    <x v="4"/>
    <x v="0"/>
    <n v="1"/>
    <n v="250"/>
    <s v="5%"/>
    <n v="237.5"/>
    <n v="0.05"/>
  </r>
  <r>
    <n v="1089"/>
    <x v="80"/>
    <x v="85"/>
    <x v="0"/>
    <x v="8"/>
    <x v="1"/>
    <n v="8"/>
    <n v="4500"/>
    <s v="10%"/>
    <n v="32400"/>
    <n v="0.1"/>
  </r>
  <r>
    <n v="1090"/>
    <x v="81"/>
    <x v="86"/>
    <x v="3"/>
    <x v="2"/>
    <x v="1"/>
    <n v="6"/>
    <n v="2500"/>
    <s v="10%"/>
    <n v="13500"/>
    <n v="0.1"/>
  </r>
  <r>
    <n v="1091"/>
    <x v="48"/>
    <x v="87"/>
    <x v="1"/>
    <x v="12"/>
    <x v="0"/>
    <n v="5"/>
    <n v="2500"/>
    <s v="20%"/>
    <n v="10000"/>
    <n v="0.2"/>
  </r>
  <r>
    <n v="1092"/>
    <x v="28"/>
    <x v="88"/>
    <x v="1"/>
    <x v="7"/>
    <x v="2"/>
    <n v="1"/>
    <n v="4500"/>
    <s v="15%"/>
    <n v="3825"/>
    <n v="0.15"/>
  </r>
  <r>
    <n v="1093"/>
    <x v="77"/>
    <x v="89"/>
    <x v="0"/>
    <x v="12"/>
    <x v="0"/>
    <n v="1"/>
    <n v="500"/>
    <s v="10%"/>
    <n v="450"/>
    <n v="0.1"/>
  </r>
  <r>
    <n v="1094"/>
    <x v="9"/>
    <x v="90"/>
    <x v="3"/>
    <x v="10"/>
    <x v="1"/>
    <n v="10"/>
    <n v="500"/>
    <s v="5%"/>
    <n v="4750"/>
    <n v="0.05"/>
  </r>
  <r>
    <n v="1095"/>
    <x v="82"/>
    <x v="91"/>
    <x v="3"/>
    <x v="2"/>
    <x v="1"/>
    <n v="2"/>
    <n v="300"/>
    <s v="15%"/>
    <n v="510"/>
    <n v="0.15"/>
  </r>
  <r>
    <n v="1096"/>
    <x v="83"/>
    <x v="92"/>
    <x v="0"/>
    <x v="6"/>
    <x v="2"/>
    <n v="8"/>
    <n v="300"/>
    <s v="15%"/>
    <n v="2040"/>
    <n v="0.15"/>
  </r>
  <r>
    <n v="1097"/>
    <x v="84"/>
    <x v="93"/>
    <x v="3"/>
    <x v="3"/>
    <x v="1"/>
    <n v="7"/>
    <n v="1500"/>
    <s v="20%"/>
    <n v="8400"/>
    <n v="0.2"/>
  </r>
  <r>
    <n v="1098"/>
    <x v="85"/>
    <x v="94"/>
    <x v="2"/>
    <x v="13"/>
    <x v="0"/>
    <n v="8"/>
    <n v="300"/>
    <s v="15%"/>
    <n v="2040"/>
    <n v="0.15"/>
  </r>
  <r>
    <n v="1099"/>
    <x v="86"/>
    <x v="95"/>
    <x v="2"/>
    <x v="11"/>
    <x v="2"/>
    <n v="4"/>
    <n v="500"/>
    <s v="20%"/>
    <n v="1600"/>
    <n v="0.2"/>
  </r>
  <r>
    <n v="1100"/>
    <x v="87"/>
    <x v="96"/>
    <x v="2"/>
    <x v="12"/>
    <x v="0"/>
    <n v="7"/>
    <n v="2500"/>
    <s v="5%"/>
    <n v="16625"/>
    <n v="0.05"/>
  </r>
  <r>
    <n v="1101"/>
    <x v="88"/>
    <x v="97"/>
    <x v="4"/>
    <x v="5"/>
    <x v="2"/>
    <n v="8"/>
    <n v="250"/>
    <s v="20%"/>
    <n v="1600"/>
    <n v="0.2"/>
  </r>
  <r>
    <n v="1102"/>
    <x v="89"/>
    <x v="98"/>
    <x v="2"/>
    <x v="10"/>
    <x v="1"/>
    <n v="8"/>
    <n v="1000"/>
    <s v="10%"/>
    <n v="7200"/>
    <n v="0.1"/>
  </r>
  <r>
    <n v="1103"/>
    <x v="90"/>
    <x v="99"/>
    <x v="1"/>
    <x v="12"/>
    <x v="0"/>
    <n v="6"/>
    <n v="4500"/>
    <s v="20%"/>
    <n v="21600"/>
    <n v="0.2"/>
  </r>
  <r>
    <n v="1104"/>
    <x v="91"/>
    <x v="100"/>
    <x v="1"/>
    <x v="6"/>
    <x v="2"/>
    <n v="2"/>
    <n v="2500"/>
    <s v="0%"/>
    <n v="5000"/>
    <n v="0"/>
  </r>
  <r>
    <n v="1105"/>
    <x v="44"/>
    <x v="101"/>
    <x v="3"/>
    <x v="3"/>
    <x v="1"/>
    <n v="1"/>
    <n v="1000"/>
    <s v="10%"/>
    <n v="900"/>
    <n v="0.1"/>
  </r>
  <r>
    <n v="1106"/>
    <x v="92"/>
    <x v="102"/>
    <x v="2"/>
    <x v="1"/>
    <x v="0"/>
    <n v="3"/>
    <n v="300"/>
    <s v="0%"/>
    <n v="900"/>
    <n v="0"/>
  </r>
  <r>
    <n v="1107"/>
    <x v="61"/>
    <x v="103"/>
    <x v="3"/>
    <x v="8"/>
    <x v="1"/>
    <n v="8"/>
    <n v="1000"/>
    <s v="15%"/>
    <n v="6800"/>
    <n v="0.15"/>
  </r>
  <r>
    <n v="1108"/>
    <x v="93"/>
    <x v="104"/>
    <x v="3"/>
    <x v="7"/>
    <x v="2"/>
    <n v="3"/>
    <n v="250"/>
    <s v="15%"/>
    <n v="637.5"/>
    <n v="0.15"/>
  </r>
  <r>
    <n v="1109"/>
    <x v="94"/>
    <x v="105"/>
    <x v="2"/>
    <x v="4"/>
    <x v="0"/>
    <n v="8"/>
    <n v="1000"/>
    <s v="5%"/>
    <n v="7600"/>
    <n v="0.05"/>
  </r>
  <r>
    <n v="1110"/>
    <x v="95"/>
    <x v="106"/>
    <x v="2"/>
    <x v="7"/>
    <x v="2"/>
    <n v="5"/>
    <n v="1000"/>
    <s v="0%"/>
    <n v="5000"/>
    <n v="0"/>
  </r>
  <r>
    <n v="1111"/>
    <x v="96"/>
    <x v="107"/>
    <x v="0"/>
    <x v="0"/>
    <x v="0"/>
    <n v="10"/>
    <n v="4500"/>
    <s v="10%"/>
    <n v="40500"/>
    <n v="0.1"/>
  </r>
  <r>
    <n v="1112"/>
    <x v="88"/>
    <x v="108"/>
    <x v="3"/>
    <x v="4"/>
    <x v="0"/>
    <n v="3"/>
    <n v="250"/>
    <s v="0%"/>
    <n v="750"/>
    <n v="0"/>
  </r>
  <r>
    <n v="1113"/>
    <x v="97"/>
    <x v="109"/>
    <x v="0"/>
    <x v="10"/>
    <x v="1"/>
    <n v="5"/>
    <n v="1500"/>
    <s v="15%"/>
    <n v="6375"/>
    <n v="0.15"/>
  </r>
  <r>
    <n v="1114"/>
    <x v="98"/>
    <x v="110"/>
    <x v="3"/>
    <x v="7"/>
    <x v="2"/>
    <n v="9"/>
    <n v="1000"/>
    <s v="5%"/>
    <n v="8550"/>
    <n v="0.05"/>
  </r>
  <r>
    <n v="1115"/>
    <x v="99"/>
    <x v="111"/>
    <x v="0"/>
    <x v="11"/>
    <x v="2"/>
    <n v="2"/>
    <n v="4500"/>
    <s v="0%"/>
    <n v="9000"/>
    <n v="0"/>
  </r>
  <r>
    <n v="1116"/>
    <x v="89"/>
    <x v="112"/>
    <x v="4"/>
    <x v="12"/>
    <x v="0"/>
    <n v="9"/>
    <n v="1500"/>
    <s v="0%"/>
    <n v="13500"/>
    <n v="0"/>
  </r>
  <r>
    <n v="1117"/>
    <x v="65"/>
    <x v="113"/>
    <x v="1"/>
    <x v="4"/>
    <x v="0"/>
    <n v="10"/>
    <n v="2500"/>
    <s v="10%"/>
    <n v="22500"/>
    <n v="0.1"/>
  </r>
  <r>
    <n v="1118"/>
    <x v="64"/>
    <x v="114"/>
    <x v="2"/>
    <x v="4"/>
    <x v="0"/>
    <n v="10"/>
    <n v="500"/>
    <s v="0%"/>
    <n v="5000"/>
    <n v="0"/>
  </r>
  <r>
    <n v="1119"/>
    <x v="96"/>
    <x v="115"/>
    <x v="1"/>
    <x v="10"/>
    <x v="1"/>
    <n v="1"/>
    <n v="1000"/>
    <s v="15%"/>
    <n v="850"/>
    <n v="0.15"/>
  </r>
  <r>
    <n v="1120"/>
    <x v="100"/>
    <x v="116"/>
    <x v="0"/>
    <x v="11"/>
    <x v="2"/>
    <n v="9"/>
    <n v="2500"/>
    <s v="20%"/>
    <n v="18000"/>
    <n v="0.2"/>
  </r>
  <r>
    <n v="1121"/>
    <x v="101"/>
    <x v="117"/>
    <x v="0"/>
    <x v="12"/>
    <x v="0"/>
    <n v="5"/>
    <n v="100"/>
    <s v="10%"/>
    <n v="450"/>
    <n v="0.1"/>
  </r>
  <r>
    <n v="1122"/>
    <x v="8"/>
    <x v="118"/>
    <x v="2"/>
    <x v="3"/>
    <x v="1"/>
    <n v="9"/>
    <n v="1500"/>
    <s v="0%"/>
    <n v="13500"/>
    <n v="0"/>
  </r>
  <r>
    <n v="1123"/>
    <x v="59"/>
    <x v="119"/>
    <x v="3"/>
    <x v="5"/>
    <x v="2"/>
    <n v="4"/>
    <n v="100"/>
    <s v="0%"/>
    <n v="400"/>
    <n v="0"/>
  </r>
  <r>
    <n v="1124"/>
    <x v="68"/>
    <x v="120"/>
    <x v="3"/>
    <x v="9"/>
    <x v="1"/>
    <n v="4"/>
    <n v="500"/>
    <s v="5%"/>
    <n v="1900"/>
    <n v="0.05"/>
  </r>
  <r>
    <n v="1125"/>
    <x v="102"/>
    <x v="121"/>
    <x v="1"/>
    <x v="6"/>
    <x v="2"/>
    <n v="3"/>
    <n v="1000"/>
    <s v="5%"/>
    <n v="2850"/>
    <n v="0.05"/>
  </r>
  <r>
    <n v="1126"/>
    <x v="103"/>
    <x v="122"/>
    <x v="3"/>
    <x v="9"/>
    <x v="1"/>
    <n v="6"/>
    <n v="100"/>
    <s v="5%"/>
    <n v="570"/>
    <n v="0.05"/>
  </r>
  <r>
    <n v="1127"/>
    <x v="104"/>
    <x v="123"/>
    <x v="1"/>
    <x v="0"/>
    <x v="0"/>
    <n v="8"/>
    <n v="4500"/>
    <s v="10%"/>
    <n v="32400"/>
    <n v="0.1"/>
  </r>
  <r>
    <n v="1128"/>
    <x v="105"/>
    <x v="124"/>
    <x v="1"/>
    <x v="13"/>
    <x v="0"/>
    <n v="5"/>
    <n v="4500"/>
    <s v="0%"/>
    <n v="22500"/>
    <n v="0"/>
  </r>
  <r>
    <n v="1129"/>
    <x v="106"/>
    <x v="125"/>
    <x v="3"/>
    <x v="2"/>
    <x v="1"/>
    <n v="8"/>
    <n v="250"/>
    <s v="0%"/>
    <n v="2000"/>
    <n v="0"/>
  </r>
  <r>
    <n v="1130"/>
    <x v="107"/>
    <x v="126"/>
    <x v="3"/>
    <x v="13"/>
    <x v="0"/>
    <n v="9"/>
    <n v="1500"/>
    <s v="15%"/>
    <n v="11475"/>
    <n v="0.15"/>
  </r>
  <r>
    <n v="1131"/>
    <x v="108"/>
    <x v="127"/>
    <x v="2"/>
    <x v="0"/>
    <x v="0"/>
    <n v="9"/>
    <n v="500"/>
    <s v="15%"/>
    <n v="3825"/>
    <n v="0.15"/>
  </r>
  <r>
    <n v="1132"/>
    <x v="109"/>
    <x v="128"/>
    <x v="3"/>
    <x v="14"/>
    <x v="2"/>
    <n v="2"/>
    <n v="1500"/>
    <s v="15%"/>
    <n v="2550"/>
    <n v="0.15"/>
  </r>
  <r>
    <n v="1133"/>
    <x v="101"/>
    <x v="129"/>
    <x v="2"/>
    <x v="5"/>
    <x v="2"/>
    <n v="2"/>
    <n v="250"/>
    <s v="0%"/>
    <n v="500"/>
    <n v="0"/>
  </r>
  <r>
    <n v="1134"/>
    <x v="110"/>
    <x v="130"/>
    <x v="2"/>
    <x v="0"/>
    <x v="0"/>
    <n v="10"/>
    <n v="1500"/>
    <s v="0%"/>
    <n v="15000"/>
    <n v="0"/>
  </r>
  <r>
    <n v="1135"/>
    <x v="111"/>
    <x v="131"/>
    <x v="1"/>
    <x v="0"/>
    <x v="0"/>
    <n v="5"/>
    <n v="1000"/>
    <s v="10%"/>
    <n v="4500"/>
    <n v="0.1"/>
  </r>
  <r>
    <n v="1136"/>
    <x v="112"/>
    <x v="132"/>
    <x v="3"/>
    <x v="10"/>
    <x v="1"/>
    <n v="6"/>
    <n v="1500"/>
    <s v="0%"/>
    <n v="9000"/>
    <n v="0"/>
  </r>
  <r>
    <n v="1137"/>
    <x v="113"/>
    <x v="133"/>
    <x v="4"/>
    <x v="13"/>
    <x v="0"/>
    <n v="9"/>
    <n v="100"/>
    <s v="20%"/>
    <n v="720"/>
    <n v="0.2"/>
  </r>
  <r>
    <n v="1138"/>
    <x v="114"/>
    <x v="134"/>
    <x v="2"/>
    <x v="11"/>
    <x v="2"/>
    <n v="1"/>
    <n v="300"/>
    <s v="5%"/>
    <n v="285"/>
    <n v="0.05"/>
  </r>
  <r>
    <n v="1139"/>
    <x v="115"/>
    <x v="135"/>
    <x v="2"/>
    <x v="9"/>
    <x v="1"/>
    <n v="4"/>
    <n v="2500"/>
    <s v="15%"/>
    <n v="8500"/>
    <n v="0.15"/>
  </r>
  <r>
    <n v="1140"/>
    <x v="102"/>
    <x v="136"/>
    <x v="0"/>
    <x v="13"/>
    <x v="0"/>
    <n v="2"/>
    <n v="100"/>
    <s v="5%"/>
    <n v="190"/>
    <n v="0.05"/>
  </r>
  <r>
    <n v="1141"/>
    <x v="116"/>
    <x v="137"/>
    <x v="3"/>
    <x v="14"/>
    <x v="2"/>
    <n v="8"/>
    <n v="4500"/>
    <s v="15%"/>
    <n v="30600"/>
    <n v="0.15"/>
  </r>
  <r>
    <n v="1142"/>
    <x v="117"/>
    <x v="138"/>
    <x v="3"/>
    <x v="3"/>
    <x v="1"/>
    <n v="10"/>
    <n v="4500"/>
    <s v="20%"/>
    <n v="36000"/>
    <n v="0.2"/>
  </r>
  <r>
    <n v="1143"/>
    <x v="118"/>
    <x v="139"/>
    <x v="3"/>
    <x v="8"/>
    <x v="1"/>
    <n v="5"/>
    <n v="500"/>
    <s v="5%"/>
    <n v="2375"/>
    <n v="0.05"/>
  </r>
  <r>
    <n v="1144"/>
    <x v="119"/>
    <x v="140"/>
    <x v="0"/>
    <x v="6"/>
    <x v="2"/>
    <n v="3"/>
    <n v="2500"/>
    <s v="20%"/>
    <n v="6000"/>
    <n v="0.2"/>
  </r>
  <r>
    <n v="1145"/>
    <x v="90"/>
    <x v="141"/>
    <x v="2"/>
    <x v="2"/>
    <x v="1"/>
    <n v="1"/>
    <n v="2500"/>
    <s v="0%"/>
    <n v="2500"/>
    <n v="0"/>
  </r>
  <r>
    <n v="1146"/>
    <x v="36"/>
    <x v="142"/>
    <x v="4"/>
    <x v="12"/>
    <x v="0"/>
    <n v="7"/>
    <n v="1000"/>
    <s v="0%"/>
    <n v="7000"/>
    <n v="0"/>
  </r>
  <r>
    <n v="1147"/>
    <x v="120"/>
    <x v="143"/>
    <x v="1"/>
    <x v="12"/>
    <x v="0"/>
    <n v="6"/>
    <n v="250"/>
    <s v="15%"/>
    <n v="1275"/>
    <n v="0.15"/>
  </r>
  <r>
    <n v="1148"/>
    <x v="121"/>
    <x v="144"/>
    <x v="0"/>
    <x v="11"/>
    <x v="2"/>
    <n v="6"/>
    <n v="500"/>
    <s v="10%"/>
    <n v="2700"/>
    <n v="0.1"/>
  </r>
  <r>
    <n v="1149"/>
    <x v="122"/>
    <x v="145"/>
    <x v="1"/>
    <x v="3"/>
    <x v="1"/>
    <n v="6"/>
    <n v="300"/>
    <s v="5%"/>
    <n v="1710"/>
    <n v="0.05"/>
  </r>
  <r>
    <n v="1150"/>
    <x v="123"/>
    <x v="146"/>
    <x v="2"/>
    <x v="0"/>
    <x v="0"/>
    <n v="3"/>
    <n v="4500"/>
    <s v="15%"/>
    <n v="11475"/>
    <n v="0.15"/>
  </r>
  <r>
    <n v="1151"/>
    <x v="80"/>
    <x v="147"/>
    <x v="1"/>
    <x v="4"/>
    <x v="0"/>
    <n v="6"/>
    <n v="300"/>
    <s v="15%"/>
    <n v="1530"/>
    <n v="0.15"/>
  </r>
  <r>
    <n v="1152"/>
    <x v="124"/>
    <x v="148"/>
    <x v="2"/>
    <x v="0"/>
    <x v="0"/>
    <n v="6"/>
    <n v="250"/>
    <s v="10%"/>
    <n v="1350"/>
    <n v="0.1"/>
  </r>
  <r>
    <n v="1153"/>
    <x v="125"/>
    <x v="149"/>
    <x v="1"/>
    <x v="10"/>
    <x v="1"/>
    <n v="10"/>
    <n v="2500"/>
    <s v="15%"/>
    <n v="21250"/>
    <n v="0.15"/>
  </r>
  <r>
    <n v="1154"/>
    <x v="126"/>
    <x v="150"/>
    <x v="2"/>
    <x v="7"/>
    <x v="2"/>
    <n v="8"/>
    <n v="300"/>
    <s v="0%"/>
    <n v="2400"/>
    <n v="0"/>
  </r>
  <r>
    <n v="1155"/>
    <x v="127"/>
    <x v="151"/>
    <x v="0"/>
    <x v="0"/>
    <x v="0"/>
    <n v="9"/>
    <n v="300"/>
    <s v="0%"/>
    <n v="2700"/>
    <n v="0"/>
  </r>
  <r>
    <n v="1156"/>
    <x v="128"/>
    <x v="152"/>
    <x v="2"/>
    <x v="1"/>
    <x v="0"/>
    <n v="6"/>
    <n v="1500"/>
    <s v="10%"/>
    <n v="8100"/>
    <n v="0.1"/>
  </r>
  <r>
    <n v="1157"/>
    <x v="36"/>
    <x v="153"/>
    <x v="2"/>
    <x v="4"/>
    <x v="0"/>
    <n v="2"/>
    <n v="1500"/>
    <s v="0%"/>
    <n v="3000"/>
    <n v="0"/>
  </r>
  <r>
    <n v="1158"/>
    <x v="129"/>
    <x v="154"/>
    <x v="0"/>
    <x v="1"/>
    <x v="0"/>
    <n v="6"/>
    <n v="250"/>
    <s v="20%"/>
    <n v="1200"/>
    <n v="0.2"/>
  </r>
  <r>
    <n v="1159"/>
    <x v="9"/>
    <x v="155"/>
    <x v="2"/>
    <x v="12"/>
    <x v="0"/>
    <n v="3"/>
    <n v="250"/>
    <s v="10%"/>
    <n v="675"/>
    <n v="0.1"/>
  </r>
  <r>
    <n v="1160"/>
    <x v="4"/>
    <x v="156"/>
    <x v="4"/>
    <x v="13"/>
    <x v="0"/>
    <n v="2"/>
    <n v="2500"/>
    <s v="20%"/>
    <n v="4000"/>
    <n v="0.2"/>
  </r>
  <r>
    <n v="1161"/>
    <x v="130"/>
    <x v="157"/>
    <x v="0"/>
    <x v="14"/>
    <x v="2"/>
    <n v="4"/>
    <n v="500"/>
    <s v="5%"/>
    <n v="1900"/>
    <n v="0.05"/>
  </r>
  <r>
    <n v="1162"/>
    <x v="131"/>
    <x v="158"/>
    <x v="0"/>
    <x v="13"/>
    <x v="0"/>
    <n v="1"/>
    <n v="1500"/>
    <s v="20%"/>
    <n v="1200"/>
    <n v="0.2"/>
  </r>
  <r>
    <n v="1163"/>
    <x v="74"/>
    <x v="159"/>
    <x v="2"/>
    <x v="13"/>
    <x v="0"/>
    <n v="3"/>
    <n v="4500"/>
    <s v="0%"/>
    <n v="13500"/>
    <n v="0"/>
  </r>
  <r>
    <n v="1164"/>
    <x v="114"/>
    <x v="160"/>
    <x v="0"/>
    <x v="4"/>
    <x v="0"/>
    <n v="8"/>
    <n v="500"/>
    <s v="20%"/>
    <n v="3200"/>
    <n v="0.2"/>
  </r>
  <r>
    <n v="1165"/>
    <x v="132"/>
    <x v="161"/>
    <x v="3"/>
    <x v="3"/>
    <x v="1"/>
    <n v="10"/>
    <n v="4500"/>
    <s v="15%"/>
    <n v="38250"/>
    <n v="0.15"/>
  </r>
  <r>
    <n v="1166"/>
    <x v="25"/>
    <x v="162"/>
    <x v="1"/>
    <x v="8"/>
    <x v="1"/>
    <n v="10"/>
    <n v="300"/>
    <s v="10%"/>
    <n v="2700"/>
    <n v="0.1"/>
  </r>
  <r>
    <n v="1167"/>
    <x v="133"/>
    <x v="163"/>
    <x v="0"/>
    <x v="9"/>
    <x v="1"/>
    <n v="2"/>
    <n v="1000"/>
    <s v="0%"/>
    <n v="2000"/>
    <n v="0"/>
  </r>
  <r>
    <n v="1168"/>
    <x v="134"/>
    <x v="164"/>
    <x v="1"/>
    <x v="5"/>
    <x v="2"/>
    <n v="4"/>
    <n v="4500"/>
    <s v="10%"/>
    <n v="16200"/>
    <n v="0.1"/>
  </r>
  <r>
    <n v="1169"/>
    <x v="135"/>
    <x v="165"/>
    <x v="3"/>
    <x v="5"/>
    <x v="2"/>
    <n v="6"/>
    <n v="500"/>
    <s v="0%"/>
    <n v="3000"/>
    <n v="0"/>
  </r>
  <r>
    <n v="1170"/>
    <x v="136"/>
    <x v="166"/>
    <x v="0"/>
    <x v="8"/>
    <x v="1"/>
    <n v="1"/>
    <n v="1000"/>
    <s v="15%"/>
    <n v="850"/>
    <n v="0.15"/>
  </r>
  <r>
    <n v="1171"/>
    <x v="10"/>
    <x v="167"/>
    <x v="2"/>
    <x v="10"/>
    <x v="1"/>
    <n v="5"/>
    <n v="500"/>
    <s v="5%"/>
    <n v="2375"/>
    <n v="0.05"/>
  </r>
  <r>
    <n v="1172"/>
    <x v="44"/>
    <x v="168"/>
    <x v="1"/>
    <x v="8"/>
    <x v="1"/>
    <n v="7"/>
    <n v="4500"/>
    <s v="0%"/>
    <n v="31500"/>
    <n v="0"/>
  </r>
  <r>
    <n v="1173"/>
    <x v="107"/>
    <x v="169"/>
    <x v="3"/>
    <x v="13"/>
    <x v="0"/>
    <n v="10"/>
    <n v="500"/>
    <s v="5%"/>
    <n v="4750"/>
    <n v="0.05"/>
  </r>
  <r>
    <n v="1174"/>
    <x v="137"/>
    <x v="170"/>
    <x v="1"/>
    <x v="6"/>
    <x v="2"/>
    <n v="2"/>
    <n v="1500"/>
    <s v="0%"/>
    <n v="3000"/>
    <n v="0"/>
  </r>
  <r>
    <n v="1175"/>
    <x v="138"/>
    <x v="171"/>
    <x v="3"/>
    <x v="11"/>
    <x v="2"/>
    <n v="1"/>
    <n v="1500"/>
    <s v="0%"/>
    <n v="1500"/>
    <n v="0"/>
  </r>
  <r>
    <n v="1176"/>
    <x v="139"/>
    <x v="172"/>
    <x v="3"/>
    <x v="4"/>
    <x v="0"/>
    <n v="3"/>
    <n v="100"/>
    <s v="10%"/>
    <n v="270"/>
    <n v="0.1"/>
  </r>
  <r>
    <n v="1177"/>
    <x v="140"/>
    <x v="173"/>
    <x v="2"/>
    <x v="14"/>
    <x v="2"/>
    <n v="3"/>
    <n v="300"/>
    <s v="0%"/>
    <n v="900"/>
    <n v="0"/>
  </r>
  <r>
    <n v="1178"/>
    <x v="141"/>
    <x v="174"/>
    <x v="2"/>
    <x v="3"/>
    <x v="1"/>
    <n v="5"/>
    <n v="2500"/>
    <s v="20%"/>
    <n v="10000"/>
    <n v="0.2"/>
  </r>
  <r>
    <n v="1179"/>
    <x v="142"/>
    <x v="175"/>
    <x v="3"/>
    <x v="5"/>
    <x v="2"/>
    <n v="6"/>
    <n v="1000"/>
    <s v="0%"/>
    <n v="6000"/>
    <n v="0"/>
  </r>
  <r>
    <n v="1180"/>
    <x v="67"/>
    <x v="176"/>
    <x v="3"/>
    <x v="11"/>
    <x v="2"/>
    <n v="3"/>
    <n v="4500"/>
    <s v="15%"/>
    <n v="11475"/>
    <n v="0.15"/>
  </r>
  <r>
    <n v="1181"/>
    <x v="143"/>
    <x v="177"/>
    <x v="0"/>
    <x v="12"/>
    <x v="0"/>
    <n v="2"/>
    <n v="2500"/>
    <s v="20%"/>
    <n v="4000"/>
    <n v="0.2"/>
  </r>
  <r>
    <n v="1182"/>
    <x v="144"/>
    <x v="178"/>
    <x v="2"/>
    <x v="4"/>
    <x v="0"/>
    <n v="5"/>
    <n v="4500"/>
    <s v="20%"/>
    <n v="18000"/>
    <n v="0.2"/>
  </r>
  <r>
    <n v="1183"/>
    <x v="145"/>
    <x v="179"/>
    <x v="1"/>
    <x v="4"/>
    <x v="0"/>
    <n v="10"/>
    <n v="2500"/>
    <s v="10%"/>
    <n v="22500"/>
    <n v="0.1"/>
  </r>
  <r>
    <n v="1184"/>
    <x v="2"/>
    <x v="180"/>
    <x v="2"/>
    <x v="1"/>
    <x v="0"/>
    <n v="1"/>
    <n v="300"/>
    <s v="20%"/>
    <n v="240"/>
    <n v="0.2"/>
  </r>
  <r>
    <n v="1185"/>
    <x v="146"/>
    <x v="181"/>
    <x v="0"/>
    <x v="11"/>
    <x v="2"/>
    <n v="7"/>
    <n v="100"/>
    <s v="20%"/>
    <n v="560"/>
    <n v="0.2"/>
  </r>
  <r>
    <n v="1186"/>
    <x v="102"/>
    <x v="182"/>
    <x v="3"/>
    <x v="9"/>
    <x v="1"/>
    <n v="3"/>
    <n v="1500"/>
    <s v="15%"/>
    <n v="3825"/>
    <n v="0.15"/>
  </r>
  <r>
    <n v="1187"/>
    <x v="95"/>
    <x v="183"/>
    <x v="1"/>
    <x v="1"/>
    <x v="0"/>
    <n v="8"/>
    <n v="2500"/>
    <s v="20%"/>
    <n v="16000"/>
    <n v="0.2"/>
  </r>
  <r>
    <n v="1188"/>
    <x v="52"/>
    <x v="184"/>
    <x v="0"/>
    <x v="4"/>
    <x v="0"/>
    <n v="8"/>
    <n v="500"/>
    <s v="0%"/>
    <n v="4000"/>
    <n v="0"/>
  </r>
  <r>
    <n v="1189"/>
    <x v="37"/>
    <x v="185"/>
    <x v="3"/>
    <x v="5"/>
    <x v="2"/>
    <n v="6"/>
    <n v="1500"/>
    <s v="0%"/>
    <n v="9000"/>
    <n v="0"/>
  </r>
  <r>
    <n v="1190"/>
    <x v="70"/>
    <x v="186"/>
    <x v="0"/>
    <x v="1"/>
    <x v="0"/>
    <n v="6"/>
    <n v="500"/>
    <s v="0%"/>
    <n v="3000"/>
    <n v="0"/>
  </r>
  <r>
    <n v="1191"/>
    <x v="147"/>
    <x v="187"/>
    <x v="0"/>
    <x v="7"/>
    <x v="2"/>
    <n v="10"/>
    <n v="1500"/>
    <s v="15%"/>
    <n v="12750"/>
    <n v="0.15"/>
  </r>
  <r>
    <n v="1192"/>
    <x v="148"/>
    <x v="188"/>
    <x v="1"/>
    <x v="12"/>
    <x v="0"/>
    <n v="9"/>
    <n v="2500"/>
    <s v="15%"/>
    <n v="19125"/>
    <n v="0.15"/>
  </r>
  <r>
    <n v="1193"/>
    <x v="149"/>
    <x v="189"/>
    <x v="0"/>
    <x v="7"/>
    <x v="2"/>
    <n v="6"/>
    <n v="300"/>
    <s v="20%"/>
    <n v="1440"/>
    <n v="0.2"/>
  </r>
  <r>
    <n v="1194"/>
    <x v="91"/>
    <x v="190"/>
    <x v="0"/>
    <x v="10"/>
    <x v="1"/>
    <n v="9"/>
    <n v="300"/>
    <s v="10%"/>
    <n v="2430"/>
    <n v="0.1"/>
  </r>
  <r>
    <n v="1195"/>
    <x v="102"/>
    <x v="191"/>
    <x v="3"/>
    <x v="4"/>
    <x v="0"/>
    <n v="2"/>
    <n v="1000"/>
    <s v="5%"/>
    <n v="1900"/>
    <n v="0.05"/>
  </r>
  <r>
    <n v="1196"/>
    <x v="146"/>
    <x v="192"/>
    <x v="3"/>
    <x v="1"/>
    <x v="0"/>
    <n v="10"/>
    <n v="300"/>
    <s v="5%"/>
    <n v="2850"/>
    <n v="0.05"/>
  </r>
  <r>
    <n v="1197"/>
    <x v="150"/>
    <x v="193"/>
    <x v="2"/>
    <x v="10"/>
    <x v="1"/>
    <n v="1"/>
    <n v="1000"/>
    <s v="5%"/>
    <n v="950"/>
    <n v="0.05"/>
  </r>
  <r>
    <n v="1198"/>
    <x v="61"/>
    <x v="194"/>
    <x v="2"/>
    <x v="4"/>
    <x v="0"/>
    <n v="5"/>
    <n v="4500"/>
    <s v="5%"/>
    <n v="21375"/>
    <n v="0.05"/>
  </r>
  <r>
    <n v="1199"/>
    <x v="151"/>
    <x v="195"/>
    <x v="3"/>
    <x v="14"/>
    <x v="2"/>
    <n v="8"/>
    <n v="4500"/>
    <s v="5%"/>
    <n v="34200"/>
    <n v="0.05"/>
  </r>
  <r>
    <n v="1200"/>
    <x v="152"/>
    <x v="196"/>
    <x v="1"/>
    <x v="4"/>
    <x v="0"/>
    <n v="7"/>
    <n v="300"/>
    <s v="10%"/>
    <n v="1890"/>
    <n v="0.1"/>
  </r>
  <r>
    <n v="1201"/>
    <x v="153"/>
    <x v="197"/>
    <x v="2"/>
    <x v="8"/>
    <x v="1"/>
    <n v="2"/>
    <n v="100"/>
    <s v="10%"/>
    <n v="180"/>
    <n v="0.1"/>
  </r>
  <r>
    <n v="1202"/>
    <x v="154"/>
    <x v="198"/>
    <x v="0"/>
    <x v="3"/>
    <x v="1"/>
    <n v="10"/>
    <n v="1500"/>
    <s v="5%"/>
    <n v="14250"/>
    <n v="0.05"/>
  </r>
  <r>
    <n v="1203"/>
    <x v="39"/>
    <x v="199"/>
    <x v="2"/>
    <x v="14"/>
    <x v="2"/>
    <n v="1"/>
    <n v="250"/>
    <s v="15%"/>
    <n v="212.5"/>
    <n v="0.15"/>
  </r>
  <r>
    <n v="1204"/>
    <x v="5"/>
    <x v="200"/>
    <x v="1"/>
    <x v="3"/>
    <x v="1"/>
    <n v="8"/>
    <n v="4500"/>
    <s v="10%"/>
    <n v="32400"/>
    <n v="0.1"/>
  </r>
  <r>
    <n v="1205"/>
    <x v="155"/>
    <x v="201"/>
    <x v="2"/>
    <x v="4"/>
    <x v="0"/>
    <n v="7"/>
    <n v="1500"/>
    <s v="0%"/>
    <n v="10500"/>
    <n v="0"/>
  </r>
  <r>
    <n v="1206"/>
    <x v="156"/>
    <x v="202"/>
    <x v="3"/>
    <x v="5"/>
    <x v="2"/>
    <n v="7"/>
    <n v="4500"/>
    <s v="20%"/>
    <n v="25200"/>
    <n v="0.2"/>
  </r>
  <r>
    <n v="1207"/>
    <x v="157"/>
    <x v="203"/>
    <x v="3"/>
    <x v="10"/>
    <x v="1"/>
    <n v="7"/>
    <n v="1500"/>
    <s v="10%"/>
    <n v="9450"/>
    <n v="0.1"/>
  </r>
  <r>
    <n v="1208"/>
    <x v="158"/>
    <x v="204"/>
    <x v="3"/>
    <x v="0"/>
    <x v="0"/>
    <n v="1"/>
    <n v="100"/>
    <s v="5%"/>
    <n v="95"/>
    <n v="0.05"/>
  </r>
  <r>
    <n v="1209"/>
    <x v="159"/>
    <x v="205"/>
    <x v="2"/>
    <x v="1"/>
    <x v="0"/>
    <n v="6"/>
    <n v="1500"/>
    <s v="5%"/>
    <n v="8550"/>
    <n v="0.05"/>
  </r>
  <r>
    <n v="1210"/>
    <x v="160"/>
    <x v="19"/>
    <x v="3"/>
    <x v="7"/>
    <x v="2"/>
    <n v="9"/>
    <n v="4500"/>
    <s v="20%"/>
    <n v="32400"/>
    <n v="0.2"/>
  </r>
  <r>
    <n v="1211"/>
    <x v="161"/>
    <x v="206"/>
    <x v="2"/>
    <x v="2"/>
    <x v="1"/>
    <n v="10"/>
    <n v="1000"/>
    <s v="0%"/>
    <n v="10000"/>
    <n v="0"/>
  </r>
  <r>
    <n v="1212"/>
    <x v="118"/>
    <x v="67"/>
    <x v="2"/>
    <x v="13"/>
    <x v="0"/>
    <n v="4"/>
    <n v="100"/>
    <s v="20%"/>
    <n v="320"/>
    <n v="0.2"/>
  </r>
  <r>
    <n v="1213"/>
    <x v="162"/>
    <x v="207"/>
    <x v="1"/>
    <x v="6"/>
    <x v="2"/>
    <n v="4"/>
    <n v="100"/>
    <s v="20%"/>
    <n v="320"/>
    <n v="0.2"/>
  </r>
  <r>
    <n v="1214"/>
    <x v="163"/>
    <x v="208"/>
    <x v="0"/>
    <x v="6"/>
    <x v="2"/>
    <n v="7"/>
    <n v="4500"/>
    <s v="0%"/>
    <n v="31500"/>
    <n v="0"/>
  </r>
  <r>
    <n v="1215"/>
    <x v="164"/>
    <x v="209"/>
    <x v="2"/>
    <x v="7"/>
    <x v="2"/>
    <n v="7"/>
    <n v="1500"/>
    <s v="5%"/>
    <n v="9975"/>
    <n v="0.05"/>
  </r>
  <r>
    <n v="1216"/>
    <x v="165"/>
    <x v="210"/>
    <x v="0"/>
    <x v="4"/>
    <x v="0"/>
    <n v="10"/>
    <n v="4500"/>
    <s v="5%"/>
    <n v="42750"/>
    <n v="0.05"/>
  </r>
  <r>
    <n v="1217"/>
    <x v="166"/>
    <x v="211"/>
    <x v="2"/>
    <x v="11"/>
    <x v="2"/>
    <n v="4"/>
    <n v="4500"/>
    <s v="10%"/>
    <n v="16200"/>
    <n v="0.1"/>
  </r>
  <r>
    <n v="1218"/>
    <x v="167"/>
    <x v="212"/>
    <x v="3"/>
    <x v="11"/>
    <x v="2"/>
    <n v="2"/>
    <n v="2500"/>
    <s v="15%"/>
    <n v="4250"/>
    <n v="0.15"/>
  </r>
  <r>
    <n v="1219"/>
    <x v="168"/>
    <x v="213"/>
    <x v="2"/>
    <x v="5"/>
    <x v="2"/>
    <n v="6"/>
    <n v="4500"/>
    <s v="10%"/>
    <n v="24300"/>
    <n v="0.1"/>
  </r>
  <r>
    <n v="1220"/>
    <x v="169"/>
    <x v="214"/>
    <x v="0"/>
    <x v="4"/>
    <x v="0"/>
    <n v="3"/>
    <n v="250"/>
    <s v="20%"/>
    <n v="600"/>
    <n v="0.2"/>
  </r>
  <r>
    <n v="1221"/>
    <x v="104"/>
    <x v="215"/>
    <x v="3"/>
    <x v="1"/>
    <x v="0"/>
    <n v="1"/>
    <n v="250"/>
    <s v="15%"/>
    <n v="212.5"/>
    <n v="0.15"/>
  </r>
  <r>
    <n v="1222"/>
    <x v="149"/>
    <x v="216"/>
    <x v="2"/>
    <x v="9"/>
    <x v="1"/>
    <n v="3"/>
    <n v="2500"/>
    <s v="15%"/>
    <n v="6375"/>
    <n v="0.15"/>
  </r>
  <r>
    <n v="1223"/>
    <x v="170"/>
    <x v="217"/>
    <x v="1"/>
    <x v="5"/>
    <x v="2"/>
    <n v="2"/>
    <n v="500"/>
    <s v="20%"/>
    <n v="800"/>
    <n v="0.2"/>
  </r>
  <r>
    <n v="1224"/>
    <x v="13"/>
    <x v="19"/>
    <x v="3"/>
    <x v="10"/>
    <x v="1"/>
    <n v="7"/>
    <n v="4500"/>
    <s v="5%"/>
    <n v="29925"/>
    <n v="0.05"/>
  </r>
  <r>
    <n v="1225"/>
    <x v="10"/>
    <x v="218"/>
    <x v="2"/>
    <x v="3"/>
    <x v="1"/>
    <n v="5"/>
    <n v="4500"/>
    <s v="20%"/>
    <n v="18000"/>
    <n v="0.2"/>
  </r>
  <r>
    <n v="1226"/>
    <x v="142"/>
    <x v="219"/>
    <x v="2"/>
    <x v="6"/>
    <x v="2"/>
    <n v="2"/>
    <n v="1500"/>
    <s v="5%"/>
    <n v="2850"/>
    <n v="0.05"/>
  </r>
  <r>
    <n v="1227"/>
    <x v="3"/>
    <x v="220"/>
    <x v="2"/>
    <x v="11"/>
    <x v="2"/>
    <n v="10"/>
    <n v="500"/>
    <s v="5%"/>
    <n v="4750"/>
    <n v="0.05"/>
  </r>
  <r>
    <n v="1228"/>
    <x v="171"/>
    <x v="19"/>
    <x v="3"/>
    <x v="0"/>
    <x v="0"/>
    <n v="3"/>
    <n v="300"/>
    <s v="15%"/>
    <n v="765"/>
    <n v="0.15"/>
  </r>
  <r>
    <n v="1229"/>
    <x v="57"/>
    <x v="221"/>
    <x v="1"/>
    <x v="11"/>
    <x v="2"/>
    <n v="6"/>
    <n v="1000"/>
    <s v="20%"/>
    <n v="4800"/>
    <n v="0.2"/>
  </r>
  <r>
    <n v="1230"/>
    <x v="158"/>
    <x v="222"/>
    <x v="2"/>
    <x v="0"/>
    <x v="0"/>
    <n v="8"/>
    <n v="1000"/>
    <s v="5%"/>
    <n v="7600"/>
    <n v="0.05"/>
  </r>
  <r>
    <n v="1231"/>
    <x v="52"/>
    <x v="223"/>
    <x v="0"/>
    <x v="5"/>
    <x v="2"/>
    <n v="5"/>
    <n v="1500"/>
    <s v="20%"/>
    <n v="6000"/>
    <n v="0.2"/>
  </r>
  <r>
    <n v="1232"/>
    <x v="172"/>
    <x v="224"/>
    <x v="2"/>
    <x v="13"/>
    <x v="0"/>
    <n v="6"/>
    <n v="2500"/>
    <s v="20%"/>
    <n v="12000"/>
    <n v="0.2"/>
  </r>
  <r>
    <n v="1233"/>
    <x v="173"/>
    <x v="225"/>
    <x v="3"/>
    <x v="9"/>
    <x v="1"/>
    <n v="2"/>
    <n v="4500"/>
    <s v="20%"/>
    <n v="7200"/>
    <n v="0.2"/>
  </r>
  <r>
    <n v="1234"/>
    <x v="174"/>
    <x v="226"/>
    <x v="3"/>
    <x v="13"/>
    <x v="0"/>
    <n v="4"/>
    <n v="300"/>
    <s v="5%"/>
    <n v="1140"/>
    <n v="0.05"/>
  </r>
  <r>
    <n v="1235"/>
    <x v="111"/>
    <x v="227"/>
    <x v="2"/>
    <x v="13"/>
    <x v="0"/>
    <n v="8"/>
    <n v="250"/>
    <s v="20%"/>
    <n v="1600"/>
    <n v="0.2"/>
  </r>
  <r>
    <n v="1236"/>
    <x v="126"/>
    <x v="228"/>
    <x v="1"/>
    <x v="7"/>
    <x v="2"/>
    <n v="1"/>
    <n v="4500"/>
    <s v="10%"/>
    <n v="4050"/>
    <n v="0.1"/>
  </r>
  <r>
    <n v="1237"/>
    <x v="175"/>
    <x v="229"/>
    <x v="1"/>
    <x v="0"/>
    <x v="0"/>
    <n v="1"/>
    <n v="2500"/>
    <s v="10%"/>
    <n v="2250"/>
    <n v="0.1"/>
  </r>
  <r>
    <n v="1238"/>
    <x v="162"/>
    <x v="230"/>
    <x v="0"/>
    <x v="5"/>
    <x v="2"/>
    <n v="5"/>
    <n v="2500"/>
    <s v="5%"/>
    <n v="11875"/>
    <n v="0.05"/>
  </r>
  <r>
    <n v="1239"/>
    <x v="176"/>
    <x v="231"/>
    <x v="2"/>
    <x v="11"/>
    <x v="2"/>
    <n v="7"/>
    <n v="4500"/>
    <s v="15%"/>
    <n v="26775"/>
    <n v="0.15"/>
  </r>
  <r>
    <n v="1240"/>
    <x v="177"/>
    <x v="232"/>
    <x v="2"/>
    <x v="3"/>
    <x v="1"/>
    <n v="2"/>
    <n v="300"/>
    <s v="20%"/>
    <n v="480"/>
    <n v="0.2"/>
  </r>
  <r>
    <n v="1241"/>
    <x v="147"/>
    <x v="233"/>
    <x v="2"/>
    <x v="10"/>
    <x v="1"/>
    <n v="5"/>
    <n v="4500"/>
    <s v="20%"/>
    <n v="18000"/>
    <n v="0.2"/>
  </r>
  <r>
    <n v="1242"/>
    <x v="178"/>
    <x v="234"/>
    <x v="1"/>
    <x v="6"/>
    <x v="2"/>
    <n v="5"/>
    <n v="500"/>
    <s v="0%"/>
    <n v="2500"/>
    <n v="0"/>
  </r>
  <r>
    <n v="1243"/>
    <x v="179"/>
    <x v="235"/>
    <x v="1"/>
    <x v="8"/>
    <x v="1"/>
    <n v="4"/>
    <n v="250"/>
    <s v="0%"/>
    <n v="1000"/>
    <n v="0"/>
  </r>
  <r>
    <n v="1244"/>
    <x v="180"/>
    <x v="236"/>
    <x v="0"/>
    <x v="10"/>
    <x v="1"/>
    <n v="7"/>
    <n v="4500"/>
    <s v="5%"/>
    <n v="29925"/>
    <n v="0.05"/>
  </r>
  <r>
    <n v="1245"/>
    <x v="181"/>
    <x v="237"/>
    <x v="3"/>
    <x v="6"/>
    <x v="2"/>
    <n v="10"/>
    <n v="1500"/>
    <s v="20%"/>
    <n v="12000"/>
    <n v="0.2"/>
  </r>
  <r>
    <n v="1246"/>
    <x v="122"/>
    <x v="238"/>
    <x v="1"/>
    <x v="1"/>
    <x v="0"/>
    <n v="7"/>
    <n v="1000"/>
    <s v="10%"/>
    <n v="6300"/>
    <n v="0.1"/>
  </r>
  <r>
    <n v="1247"/>
    <x v="182"/>
    <x v="239"/>
    <x v="3"/>
    <x v="2"/>
    <x v="1"/>
    <n v="9"/>
    <n v="4500"/>
    <s v="0%"/>
    <n v="40500"/>
    <n v="0"/>
  </r>
  <r>
    <n v="1248"/>
    <x v="56"/>
    <x v="240"/>
    <x v="2"/>
    <x v="14"/>
    <x v="2"/>
    <n v="7"/>
    <n v="300"/>
    <s v="10%"/>
    <n v="1890"/>
    <n v="0.1"/>
  </r>
  <r>
    <n v="1249"/>
    <x v="183"/>
    <x v="241"/>
    <x v="2"/>
    <x v="3"/>
    <x v="1"/>
    <n v="3"/>
    <n v="4500"/>
    <s v="0%"/>
    <n v="13500"/>
    <n v="0"/>
  </r>
  <r>
    <n v="1250"/>
    <x v="184"/>
    <x v="242"/>
    <x v="2"/>
    <x v="3"/>
    <x v="1"/>
    <n v="4"/>
    <n v="1500"/>
    <s v="0%"/>
    <n v="6000"/>
    <n v="0"/>
  </r>
  <r>
    <n v="1251"/>
    <x v="35"/>
    <x v="243"/>
    <x v="1"/>
    <x v="10"/>
    <x v="1"/>
    <n v="5"/>
    <n v="2500"/>
    <s v="20%"/>
    <n v="10000"/>
    <n v="0.2"/>
  </r>
  <r>
    <n v="1252"/>
    <x v="185"/>
    <x v="244"/>
    <x v="3"/>
    <x v="13"/>
    <x v="0"/>
    <n v="4"/>
    <n v="4500"/>
    <s v="5%"/>
    <n v="17100"/>
    <n v="0.05"/>
  </r>
  <r>
    <n v="1253"/>
    <x v="186"/>
    <x v="245"/>
    <x v="0"/>
    <x v="10"/>
    <x v="1"/>
    <n v="8"/>
    <n v="500"/>
    <s v="20%"/>
    <n v="3200"/>
    <n v="0.2"/>
  </r>
  <r>
    <n v="1254"/>
    <x v="123"/>
    <x v="246"/>
    <x v="3"/>
    <x v="14"/>
    <x v="2"/>
    <n v="8"/>
    <n v="1500"/>
    <s v="10%"/>
    <n v="10800"/>
    <n v="0.1"/>
  </r>
  <r>
    <n v="1255"/>
    <x v="72"/>
    <x v="247"/>
    <x v="3"/>
    <x v="12"/>
    <x v="0"/>
    <n v="6"/>
    <n v="500"/>
    <s v="10%"/>
    <n v="2700"/>
    <n v="0.1"/>
  </r>
  <r>
    <n v="1256"/>
    <x v="187"/>
    <x v="248"/>
    <x v="0"/>
    <x v="10"/>
    <x v="1"/>
    <n v="5"/>
    <n v="2500"/>
    <s v="10%"/>
    <n v="11250"/>
    <n v="0.1"/>
  </r>
  <r>
    <n v="1257"/>
    <x v="77"/>
    <x v="249"/>
    <x v="2"/>
    <x v="2"/>
    <x v="1"/>
    <n v="9"/>
    <n v="1500"/>
    <s v="10%"/>
    <n v="12150"/>
    <n v="0.1"/>
  </r>
  <r>
    <n v="1258"/>
    <x v="188"/>
    <x v="250"/>
    <x v="2"/>
    <x v="3"/>
    <x v="1"/>
    <n v="3"/>
    <n v="300"/>
    <s v="20%"/>
    <n v="720"/>
    <n v="0.2"/>
  </r>
  <r>
    <n v="1259"/>
    <x v="108"/>
    <x v="251"/>
    <x v="1"/>
    <x v="9"/>
    <x v="1"/>
    <n v="1"/>
    <n v="250"/>
    <s v="0%"/>
    <n v="250"/>
    <n v="0"/>
  </r>
  <r>
    <n v="1260"/>
    <x v="189"/>
    <x v="252"/>
    <x v="2"/>
    <x v="1"/>
    <x v="0"/>
    <n v="1"/>
    <n v="500"/>
    <s v="20%"/>
    <n v="400"/>
    <n v="0.2"/>
  </r>
  <r>
    <n v="1261"/>
    <x v="190"/>
    <x v="253"/>
    <x v="4"/>
    <x v="12"/>
    <x v="0"/>
    <n v="8"/>
    <n v="100"/>
    <s v="0%"/>
    <n v="800"/>
    <n v="0"/>
  </r>
  <r>
    <n v="1262"/>
    <x v="191"/>
    <x v="254"/>
    <x v="1"/>
    <x v="5"/>
    <x v="2"/>
    <n v="9"/>
    <n v="2500"/>
    <s v="5%"/>
    <n v="21375"/>
    <n v="0.05"/>
  </r>
  <r>
    <n v="1263"/>
    <x v="192"/>
    <x v="255"/>
    <x v="2"/>
    <x v="13"/>
    <x v="0"/>
    <n v="5"/>
    <n v="1500"/>
    <s v="10%"/>
    <n v="6750"/>
    <n v="0.1"/>
  </r>
  <r>
    <n v="1264"/>
    <x v="193"/>
    <x v="256"/>
    <x v="1"/>
    <x v="8"/>
    <x v="1"/>
    <n v="5"/>
    <n v="250"/>
    <s v="0%"/>
    <n v="1250"/>
    <n v="0"/>
  </r>
  <r>
    <n v="1265"/>
    <x v="194"/>
    <x v="257"/>
    <x v="2"/>
    <x v="0"/>
    <x v="0"/>
    <n v="3"/>
    <n v="250"/>
    <s v="15%"/>
    <n v="637.5"/>
    <n v="0.15"/>
  </r>
  <r>
    <n v="1266"/>
    <x v="137"/>
    <x v="258"/>
    <x v="2"/>
    <x v="9"/>
    <x v="1"/>
    <n v="1"/>
    <n v="500"/>
    <s v="5%"/>
    <n v="475"/>
    <n v="0.05"/>
  </r>
  <r>
    <n v="1267"/>
    <x v="117"/>
    <x v="259"/>
    <x v="4"/>
    <x v="7"/>
    <x v="2"/>
    <n v="10"/>
    <n v="100"/>
    <s v="5%"/>
    <n v="950"/>
    <n v="0.05"/>
  </r>
  <r>
    <n v="1268"/>
    <x v="24"/>
    <x v="260"/>
    <x v="0"/>
    <x v="12"/>
    <x v="0"/>
    <n v="2"/>
    <n v="1000"/>
    <s v="5%"/>
    <n v="1900"/>
    <n v="0.05"/>
  </r>
  <r>
    <n v="1269"/>
    <x v="195"/>
    <x v="261"/>
    <x v="3"/>
    <x v="4"/>
    <x v="0"/>
    <n v="7"/>
    <n v="300"/>
    <s v="0%"/>
    <n v="2100"/>
    <n v="0"/>
  </r>
  <r>
    <n v="1270"/>
    <x v="176"/>
    <x v="262"/>
    <x v="1"/>
    <x v="7"/>
    <x v="2"/>
    <n v="10"/>
    <n v="2500"/>
    <s v="10%"/>
    <n v="22500"/>
    <n v="0.1"/>
  </r>
  <r>
    <n v="1271"/>
    <x v="196"/>
    <x v="263"/>
    <x v="0"/>
    <x v="3"/>
    <x v="1"/>
    <n v="9"/>
    <n v="2500"/>
    <s v="15%"/>
    <n v="19125"/>
    <n v="0.15"/>
  </r>
  <r>
    <n v="1272"/>
    <x v="197"/>
    <x v="264"/>
    <x v="3"/>
    <x v="4"/>
    <x v="0"/>
    <n v="4"/>
    <n v="250"/>
    <s v="0%"/>
    <n v="1000"/>
    <n v="0"/>
  </r>
  <r>
    <n v="1273"/>
    <x v="198"/>
    <x v="265"/>
    <x v="4"/>
    <x v="12"/>
    <x v="0"/>
    <n v="6"/>
    <n v="1500"/>
    <s v="0%"/>
    <n v="9000"/>
    <n v="0"/>
  </r>
  <r>
    <n v="1274"/>
    <x v="90"/>
    <x v="266"/>
    <x v="2"/>
    <x v="5"/>
    <x v="2"/>
    <n v="3"/>
    <n v="250"/>
    <s v="5%"/>
    <n v="712.5"/>
    <n v="0.05"/>
  </r>
  <r>
    <n v="1275"/>
    <x v="108"/>
    <x v="19"/>
    <x v="3"/>
    <x v="10"/>
    <x v="1"/>
    <n v="6"/>
    <n v="250"/>
    <s v="20%"/>
    <n v="1200"/>
    <n v="0.2"/>
  </r>
  <r>
    <n v="1276"/>
    <x v="85"/>
    <x v="267"/>
    <x v="0"/>
    <x v="9"/>
    <x v="1"/>
    <n v="4"/>
    <n v="300"/>
    <s v="15%"/>
    <n v="1020"/>
    <n v="0.15"/>
  </r>
  <r>
    <n v="1277"/>
    <x v="199"/>
    <x v="268"/>
    <x v="3"/>
    <x v="8"/>
    <x v="1"/>
    <n v="7"/>
    <n v="1000"/>
    <s v="15%"/>
    <n v="5950"/>
    <n v="0.15"/>
  </r>
  <r>
    <n v="1278"/>
    <x v="185"/>
    <x v="19"/>
    <x v="1"/>
    <x v="2"/>
    <x v="1"/>
    <n v="10"/>
    <n v="500"/>
    <s v="15%"/>
    <n v="4250"/>
    <n v="0.15"/>
  </r>
  <r>
    <n v="1279"/>
    <x v="200"/>
    <x v="269"/>
    <x v="2"/>
    <x v="12"/>
    <x v="0"/>
    <n v="6"/>
    <n v="4500"/>
    <s v="10%"/>
    <n v="24300"/>
    <n v="0.1"/>
  </r>
  <r>
    <n v="1280"/>
    <x v="8"/>
    <x v="270"/>
    <x v="3"/>
    <x v="3"/>
    <x v="1"/>
    <n v="6"/>
    <n v="500"/>
    <s v="15%"/>
    <n v="2550"/>
    <n v="0.15"/>
  </r>
  <r>
    <n v="1281"/>
    <x v="0"/>
    <x v="271"/>
    <x v="2"/>
    <x v="12"/>
    <x v="0"/>
    <n v="10"/>
    <n v="500"/>
    <s v="10%"/>
    <n v="4500"/>
    <n v="0.1"/>
  </r>
  <r>
    <n v="1282"/>
    <x v="168"/>
    <x v="272"/>
    <x v="1"/>
    <x v="1"/>
    <x v="0"/>
    <n v="10"/>
    <n v="300"/>
    <s v="20%"/>
    <n v="2400"/>
    <n v="0.2"/>
  </r>
  <r>
    <n v="1283"/>
    <x v="42"/>
    <x v="273"/>
    <x v="0"/>
    <x v="11"/>
    <x v="2"/>
    <n v="2"/>
    <n v="2500"/>
    <s v="15%"/>
    <n v="4250"/>
    <n v="0.15"/>
  </r>
  <r>
    <n v="1284"/>
    <x v="201"/>
    <x v="274"/>
    <x v="2"/>
    <x v="12"/>
    <x v="0"/>
    <n v="7"/>
    <n v="250"/>
    <s v="15%"/>
    <n v="1487.5"/>
    <n v="0.15"/>
  </r>
  <r>
    <n v="1285"/>
    <x v="104"/>
    <x v="275"/>
    <x v="1"/>
    <x v="12"/>
    <x v="0"/>
    <n v="9"/>
    <n v="100"/>
    <s v="10%"/>
    <n v="810"/>
    <n v="0.1"/>
  </r>
  <r>
    <n v="1286"/>
    <x v="72"/>
    <x v="276"/>
    <x v="2"/>
    <x v="9"/>
    <x v="1"/>
    <n v="1"/>
    <n v="2500"/>
    <s v="10%"/>
    <n v="2250"/>
    <n v="0.1"/>
  </r>
  <r>
    <n v="1287"/>
    <x v="202"/>
    <x v="277"/>
    <x v="3"/>
    <x v="13"/>
    <x v="0"/>
    <n v="9"/>
    <n v="500"/>
    <s v="15%"/>
    <n v="3825"/>
    <n v="0.15"/>
  </r>
  <r>
    <n v="1288"/>
    <x v="131"/>
    <x v="278"/>
    <x v="1"/>
    <x v="1"/>
    <x v="0"/>
    <n v="6"/>
    <n v="100"/>
    <s v="15%"/>
    <n v="510"/>
    <n v="0.15"/>
  </r>
  <r>
    <n v="1289"/>
    <x v="119"/>
    <x v="279"/>
    <x v="2"/>
    <x v="1"/>
    <x v="0"/>
    <n v="6"/>
    <n v="1000"/>
    <s v="10%"/>
    <n v="5400"/>
    <n v="0.1"/>
  </r>
  <r>
    <n v="1290"/>
    <x v="33"/>
    <x v="280"/>
    <x v="3"/>
    <x v="2"/>
    <x v="1"/>
    <n v="8"/>
    <n v="1500"/>
    <s v="0%"/>
    <n v="12000"/>
    <n v="0"/>
  </r>
  <r>
    <n v="1291"/>
    <x v="82"/>
    <x v="281"/>
    <x v="0"/>
    <x v="5"/>
    <x v="2"/>
    <n v="3"/>
    <n v="500"/>
    <s v="20%"/>
    <n v="1200"/>
    <n v="0.2"/>
  </r>
  <r>
    <n v="1292"/>
    <x v="13"/>
    <x v="282"/>
    <x v="2"/>
    <x v="6"/>
    <x v="2"/>
    <n v="7"/>
    <n v="300"/>
    <s v="5%"/>
    <n v="1995"/>
    <n v="0.05"/>
  </r>
  <r>
    <n v="1293"/>
    <x v="203"/>
    <x v="283"/>
    <x v="0"/>
    <x v="7"/>
    <x v="2"/>
    <n v="7"/>
    <n v="2500"/>
    <s v="0%"/>
    <n v="17500"/>
    <n v="0"/>
  </r>
  <r>
    <n v="1294"/>
    <x v="185"/>
    <x v="284"/>
    <x v="3"/>
    <x v="9"/>
    <x v="1"/>
    <n v="2"/>
    <n v="300"/>
    <s v="10%"/>
    <n v="540"/>
    <n v="0.1"/>
  </r>
  <r>
    <n v="1295"/>
    <x v="92"/>
    <x v="285"/>
    <x v="2"/>
    <x v="7"/>
    <x v="2"/>
    <n v="6"/>
    <n v="2500"/>
    <s v="20%"/>
    <n v="12000"/>
    <n v="0.2"/>
  </r>
  <r>
    <n v="1296"/>
    <x v="105"/>
    <x v="286"/>
    <x v="3"/>
    <x v="1"/>
    <x v="0"/>
    <n v="5"/>
    <n v="250"/>
    <s v="5%"/>
    <n v="1187.5"/>
    <n v="0.05"/>
  </r>
  <r>
    <n v="1297"/>
    <x v="204"/>
    <x v="287"/>
    <x v="0"/>
    <x v="1"/>
    <x v="0"/>
    <n v="9"/>
    <n v="2500"/>
    <s v="15%"/>
    <n v="19125"/>
    <n v="0.15"/>
  </r>
  <r>
    <n v="1298"/>
    <x v="52"/>
    <x v="288"/>
    <x v="3"/>
    <x v="1"/>
    <x v="0"/>
    <n v="9"/>
    <n v="300"/>
    <s v="15%"/>
    <n v="2295"/>
    <n v="0.15"/>
  </r>
  <r>
    <n v="1299"/>
    <x v="205"/>
    <x v="289"/>
    <x v="0"/>
    <x v="3"/>
    <x v="1"/>
    <n v="1"/>
    <n v="4500"/>
    <s v="5%"/>
    <n v="4275"/>
    <n v="0.05"/>
  </r>
  <r>
    <n v="1300"/>
    <x v="206"/>
    <x v="290"/>
    <x v="2"/>
    <x v="14"/>
    <x v="2"/>
    <n v="8"/>
    <n v="2500"/>
    <s v="15%"/>
    <n v="17000"/>
    <n v="0.15"/>
  </r>
  <r>
    <n v="1301"/>
    <x v="207"/>
    <x v="291"/>
    <x v="3"/>
    <x v="3"/>
    <x v="1"/>
    <n v="1"/>
    <n v="1000"/>
    <s v="5%"/>
    <n v="950"/>
    <n v="0.05"/>
  </r>
  <r>
    <n v="1302"/>
    <x v="93"/>
    <x v="292"/>
    <x v="1"/>
    <x v="7"/>
    <x v="2"/>
    <n v="9"/>
    <n v="250"/>
    <s v="20%"/>
    <n v="1800"/>
    <n v="0.2"/>
  </r>
  <r>
    <n v="1303"/>
    <x v="103"/>
    <x v="293"/>
    <x v="1"/>
    <x v="0"/>
    <x v="0"/>
    <n v="8"/>
    <n v="500"/>
    <s v="15%"/>
    <n v="3400"/>
    <n v="0.15"/>
  </r>
  <r>
    <n v="1304"/>
    <x v="208"/>
    <x v="294"/>
    <x v="2"/>
    <x v="2"/>
    <x v="1"/>
    <n v="5"/>
    <n v="1500"/>
    <s v="0%"/>
    <n v="7500"/>
    <n v="0"/>
  </r>
  <r>
    <n v="1305"/>
    <x v="200"/>
    <x v="295"/>
    <x v="0"/>
    <x v="9"/>
    <x v="1"/>
    <n v="6"/>
    <n v="2500"/>
    <s v="5%"/>
    <n v="14250"/>
    <n v="0.05"/>
  </r>
  <r>
    <n v="1306"/>
    <x v="209"/>
    <x v="296"/>
    <x v="0"/>
    <x v="4"/>
    <x v="0"/>
    <n v="9"/>
    <n v="1000"/>
    <s v="20%"/>
    <n v="7200"/>
    <n v="0.2"/>
  </r>
  <r>
    <n v="1307"/>
    <x v="56"/>
    <x v="297"/>
    <x v="1"/>
    <x v="7"/>
    <x v="2"/>
    <n v="2"/>
    <n v="300"/>
    <s v="15%"/>
    <n v="510"/>
    <n v="0.15"/>
  </r>
  <r>
    <n v="1308"/>
    <x v="210"/>
    <x v="298"/>
    <x v="2"/>
    <x v="8"/>
    <x v="1"/>
    <n v="3"/>
    <n v="1500"/>
    <s v="5%"/>
    <n v="4275"/>
    <n v="0.05"/>
  </r>
  <r>
    <n v="1309"/>
    <x v="70"/>
    <x v="299"/>
    <x v="2"/>
    <x v="14"/>
    <x v="2"/>
    <n v="8"/>
    <n v="250"/>
    <s v="0%"/>
    <n v="2000"/>
    <n v="0"/>
  </r>
  <r>
    <n v="1310"/>
    <x v="211"/>
    <x v="300"/>
    <x v="1"/>
    <x v="14"/>
    <x v="2"/>
    <n v="8"/>
    <n v="1500"/>
    <s v="20%"/>
    <n v="9600"/>
    <n v="0.2"/>
  </r>
  <r>
    <n v="1311"/>
    <x v="212"/>
    <x v="301"/>
    <x v="2"/>
    <x v="11"/>
    <x v="2"/>
    <n v="2"/>
    <n v="2500"/>
    <s v="5%"/>
    <n v="4750"/>
    <n v="0.05"/>
  </r>
  <r>
    <n v="1312"/>
    <x v="213"/>
    <x v="302"/>
    <x v="2"/>
    <x v="11"/>
    <x v="2"/>
    <n v="9"/>
    <n v="300"/>
    <s v="20%"/>
    <n v="2160"/>
    <n v="0.2"/>
  </r>
  <r>
    <n v="1313"/>
    <x v="32"/>
    <x v="19"/>
    <x v="0"/>
    <x v="10"/>
    <x v="1"/>
    <n v="8"/>
    <n v="100"/>
    <s v="0%"/>
    <n v="800"/>
    <n v="0"/>
  </r>
  <r>
    <n v="1314"/>
    <x v="132"/>
    <x v="303"/>
    <x v="1"/>
    <x v="8"/>
    <x v="1"/>
    <n v="5"/>
    <n v="300"/>
    <s v="10%"/>
    <n v="1350"/>
    <n v="0.1"/>
  </r>
  <r>
    <n v="1315"/>
    <x v="214"/>
    <x v="304"/>
    <x v="0"/>
    <x v="1"/>
    <x v="0"/>
    <n v="1"/>
    <n v="2500"/>
    <s v="10%"/>
    <n v="2250"/>
    <n v="0.1"/>
  </r>
  <r>
    <n v="1316"/>
    <x v="215"/>
    <x v="305"/>
    <x v="0"/>
    <x v="2"/>
    <x v="1"/>
    <n v="2"/>
    <n v="1354.67"/>
    <s v="20%"/>
    <n v="2167.4720000000002"/>
    <n v="0.2"/>
  </r>
  <r>
    <n v="1317"/>
    <x v="216"/>
    <x v="306"/>
    <x v="1"/>
    <x v="5"/>
    <x v="2"/>
    <n v="7"/>
    <n v="300"/>
    <s v="15%"/>
    <n v="1785"/>
    <n v="0.15"/>
  </r>
  <r>
    <n v="1318"/>
    <x v="217"/>
    <x v="307"/>
    <x v="2"/>
    <x v="3"/>
    <x v="1"/>
    <n v="6"/>
    <n v="1000"/>
    <s v="5%"/>
    <n v="5700"/>
    <n v="0.05"/>
  </r>
  <r>
    <n v="1319"/>
    <x v="125"/>
    <x v="308"/>
    <x v="0"/>
    <x v="1"/>
    <x v="0"/>
    <n v="2"/>
    <n v="100"/>
    <s v="20%"/>
    <n v="160"/>
    <n v="0.2"/>
  </r>
  <r>
    <n v="1320"/>
    <x v="29"/>
    <x v="309"/>
    <x v="1"/>
    <x v="2"/>
    <x v="1"/>
    <n v="10"/>
    <n v="4500"/>
    <s v="5%"/>
    <n v="42750"/>
    <n v="0.05"/>
  </r>
  <r>
    <n v="1321"/>
    <x v="199"/>
    <x v="310"/>
    <x v="0"/>
    <x v="12"/>
    <x v="0"/>
    <n v="6"/>
    <n v="2500"/>
    <s v="10%"/>
    <n v="13500"/>
    <n v="0.1"/>
  </r>
  <r>
    <n v="1322"/>
    <x v="105"/>
    <x v="311"/>
    <x v="3"/>
    <x v="13"/>
    <x v="0"/>
    <n v="10"/>
    <n v="1000"/>
    <s v="0%"/>
    <n v="10000"/>
    <n v="0"/>
  </r>
  <r>
    <n v="1323"/>
    <x v="218"/>
    <x v="312"/>
    <x v="2"/>
    <x v="11"/>
    <x v="2"/>
    <n v="1"/>
    <n v="500"/>
    <s v="15%"/>
    <n v="425"/>
    <n v="0.15"/>
  </r>
  <r>
    <n v="1324"/>
    <x v="114"/>
    <x v="313"/>
    <x v="2"/>
    <x v="0"/>
    <x v="0"/>
    <n v="6"/>
    <n v="1500"/>
    <s v="5%"/>
    <n v="8550"/>
    <n v="0.05"/>
  </r>
  <r>
    <n v="1325"/>
    <x v="141"/>
    <x v="314"/>
    <x v="4"/>
    <x v="1"/>
    <x v="0"/>
    <n v="8"/>
    <n v="250"/>
    <s v="0%"/>
    <n v="2000"/>
    <n v="0"/>
  </r>
  <r>
    <n v="1326"/>
    <x v="23"/>
    <x v="315"/>
    <x v="2"/>
    <x v="7"/>
    <x v="2"/>
    <n v="5"/>
    <n v="2500"/>
    <s v="15%"/>
    <n v="10625"/>
    <n v="0.15"/>
  </r>
  <r>
    <n v="1327"/>
    <x v="180"/>
    <x v="316"/>
    <x v="0"/>
    <x v="5"/>
    <x v="2"/>
    <n v="5"/>
    <n v="250"/>
    <s v="20%"/>
    <n v="1000"/>
    <n v="0.2"/>
  </r>
  <r>
    <n v="1328"/>
    <x v="167"/>
    <x v="317"/>
    <x v="1"/>
    <x v="0"/>
    <x v="0"/>
    <n v="5"/>
    <n v="2500"/>
    <s v="5%"/>
    <n v="11875"/>
    <n v="0.05"/>
  </r>
  <r>
    <n v="1329"/>
    <x v="219"/>
    <x v="318"/>
    <x v="4"/>
    <x v="13"/>
    <x v="0"/>
    <n v="1"/>
    <n v="1000"/>
    <s v="5%"/>
    <n v="950"/>
    <n v="0.05"/>
  </r>
  <r>
    <n v="1330"/>
    <x v="220"/>
    <x v="319"/>
    <x v="3"/>
    <x v="11"/>
    <x v="2"/>
    <n v="9"/>
    <n v="1000"/>
    <s v="5%"/>
    <n v="8550"/>
    <n v="0.05"/>
  </r>
  <r>
    <n v="1331"/>
    <x v="221"/>
    <x v="320"/>
    <x v="1"/>
    <x v="10"/>
    <x v="1"/>
    <n v="6"/>
    <n v="2500"/>
    <s v="10%"/>
    <n v="13500"/>
    <n v="0.1"/>
  </r>
  <r>
    <n v="1332"/>
    <x v="222"/>
    <x v="321"/>
    <x v="2"/>
    <x v="14"/>
    <x v="2"/>
    <n v="9"/>
    <n v="1500"/>
    <s v="0%"/>
    <n v="13500"/>
    <n v="0"/>
  </r>
  <r>
    <n v="1333"/>
    <x v="98"/>
    <x v="322"/>
    <x v="1"/>
    <x v="9"/>
    <x v="1"/>
    <n v="2"/>
    <n v="500"/>
    <s v="20%"/>
    <n v="800"/>
    <n v="0.2"/>
  </r>
  <r>
    <n v="1334"/>
    <x v="223"/>
    <x v="323"/>
    <x v="1"/>
    <x v="11"/>
    <x v="2"/>
    <n v="7"/>
    <n v="300"/>
    <s v="5%"/>
    <n v="1995"/>
    <n v="0.05"/>
  </r>
  <r>
    <n v="1335"/>
    <x v="224"/>
    <x v="324"/>
    <x v="3"/>
    <x v="6"/>
    <x v="2"/>
    <n v="6"/>
    <n v="500"/>
    <s v="15%"/>
    <n v="2550"/>
    <n v="0.15"/>
  </r>
  <r>
    <n v="1336"/>
    <x v="82"/>
    <x v="325"/>
    <x v="1"/>
    <x v="0"/>
    <x v="0"/>
    <n v="3"/>
    <n v="500"/>
    <s v="20%"/>
    <n v="1200"/>
    <n v="0.2"/>
  </r>
  <r>
    <n v="1337"/>
    <x v="222"/>
    <x v="326"/>
    <x v="4"/>
    <x v="11"/>
    <x v="2"/>
    <n v="6"/>
    <n v="250"/>
    <s v="20%"/>
    <n v="1200"/>
    <n v="0.2"/>
  </r>
  <r>
    <n v="1338"/>
    <x v="214"/>
    <x v="327"/>
    <x v="2"/>
    <x v="7"/>
    <x v="2"/>
    <n v="4"/>
    <n v="4500"/>
    <s v="10%"/>
    <n v="16200"/>
    <n v="0.1"/>
  </r>
  <r>
    <n v="1339"/>
    <x v="225"/>
    <x v="328"/>
    <x v="1"/>
    <x v="1"/>
    <x v="0"/>
    <n v="3"/>
    <n v="100"/>
    <s v="15%"/>
    <n v="255"/>
    <n v="0.15"/>
  </r>
  <r>
    <n v="1340"/>
    <x v="173"/>
    <x v="329"/>
    <x v="1"/>
    <x v="3"/>
    <x v="1"/>
    <n v="1"/>
    <n v="2500"/>
    <s v="10%"/>
    <n v="2250"/>
    <n v="0.1"/>
  </r>
  <r>
    <n v="1341"/>
    <x v="159"/>
    <x v="330"/>
    <x v="0"/>
    <x v="8"/>
    <x v="1"/>
    <n v="5"/>
    <n v="250"/>
    <s v="0%"/>
    <n v="1250"/>
    <n v="0"/>
  </r>
  <r>
    <n v="1342"/>
    <x v="86"/>
    <x v="331"/>
    <x v="0"/>
    <x v="14"/>
    <x v="2"/>
    <n v="2"/>
    <n v="250"/>
    <s v="20%"/>
    <n v="400"/>
    <n v="0.2"/>
  </r>
  <r>
    <n v="1343"/>
    <x v="176"/>
    <x v="332"/>
    <x v="3"/>
    <x v="2"/>
    <x v="1"/>
    <n v="3"/>
    <n v="500"/>
    <s v="10%"/>
    <n v="1350"/>
    <n v="0.1"/>
  </r>
  <r>
    <n v="1344"/>
    <x v="226"/>
    <x v="333"/>
    <x v="0"/>
    <x v="4"/>
    <x v="0"/>
    <n v="6"/>
    <n v="4500"/>
    <s v="10%"/>
    <n v="24300"/>
    <n v="0.1"/>
  </r>
  <r>
    <n v="1345"/>
    <x v="105"/>
    <x v="334"/>
    <x v="2"/>
    <x v="0"/>
    <x v="0"/>
    <n v="3"/>
    <n v="250"/>
    <s v="5%"/>
    <n v="712.5"/>
    <n v="0.05"/>
  </r>
  <r>
    <n v="1346"/>
    <x v="227"/>
    <x v="335"/>
    <x v="1"/>
    <x v="2"/>
    <x v="1"/>
    <n v="5"/>
    <n v="4500"/>
    <s v="10%"/>
    <n v="20250"/>
    <n v="0.1"/>
  </r>
  <r>
    <n v="1347"/>
    <x v="192"/>
    <x v="336"/>
    <x v="0"/>
    <x v="13"/>
    <x v="0"/>
    <n v="1"/>
    <n v="500"/>
    <s v="10%"/>
    <n v="450"/>
    <n v="0.1"/>
  </r>
  <r>
    <n v="1348"/>
    <x v="62"/>
    <x v="337"/>
    <x v="1"/>
    <x v="0"/>
    <x v="0"/>
    <n v="5"/>
    <n v="1000"/>
    <s v="5%"/>
    <n v="4750"/>
    <n v="0.05"/>
  </r>
  <r>
    <n v="1349"/>
    <x v="146"/>
    <x v="338"/>
    <x v="0"/>
    <x v="1"/>
    <x v="0"/>
    <n v="2"/>
    <n v="4500"/>
    <s v="0%"/>
    <n v="9000"/>
    <n v="0"/>
  </r>
  <r>
    <n v="1350"/>
    <x v="228"/>
    <x v="339"/>
    <x v="1"/>
    <x v="8"/>
    <x v="1"/>
    <n v="4"/>
    <n v="2500"/>
    <s v="10%"/>
    <n v="9000"/>
    <n v="0.1"/>
  </r>
  <r>
    <n v="1351"/>
    <x v="229"/>
    <x v="340"/>
    <x v="1"/>
    <x v="10"/>
    <x v="1"/>
    <n v="4"/>
    <n v="4500"/>
    <s v="5%"/>
    <n v="17100"/>
    <n v="0.05"/>
  </r>
  <r>
    <n v="1352"/>
    <x v="187"/>
    <x v="341"/>
    <x v="2"/>
    <x v="2"/>
    <x v="1"/>
    <n v="1"/>
    <n v="300"/>
    <s v="20%"/>
    <n v="240"/>
    <n v="0.2"/>
  </r>
  <r>
    <n v="1353"/>
    <x v="230"/>
    <x v="342"/>
    <x v="0"/>
    <x v="12"/>
    <x v="0"/>
    <n v="3"/>
    <n v="1500"/>
    <s v="5%"/>
    <n v="4275"/>
    <n v="0.05"/>
  </r>
  <r>
    <n v="1354"/>
    <x v="224"/>
    <x v="343"/>
    <x v="2"/>
    <x v="13"/>
    <x v="0"/>
    <n v="10"/>
    <n v="500"/>
    <s v="10%"/>
    <n v="4500"/>
    <n v="0.1"/>
  </r>
  <r>
    <n v="1355"/>
    <x v="139"/>
    <x v="344"/>
    <x v="0"/>
    <x v="14"/>
    <x v="2"/>
    <n v="3"/>
    <n v="2500"/>
    <s v="5%"/>
    <n v="7125"/>
    <n v="0.05"/>
  </r>
  <r>
    <n v="1356"/>
    <x v="145"/>
    <x v="345"/>
    <x v="3"/>
    <x v="11"/>
    <x v="2"/>
    <n v="8"/>
    <n v="4500"/>
    <s v="10%"/>
    <n v="32400"/>
    <n v="0.1"/>
  </r>
  <r>
    <n v="1357"/>
    <x v="53"/>
    <x v="346"/>
    <x v="3"/>
    <x v="10"/>
    <x v="1"/>
    <n v="5"/>
    <n v="100"/>
    <s v="15%"/>
    <n v="425"/>
    <n v="0.15"/>
  </r>
  <r>
    <n v="1358"/>
    <x v="231"/>
    <x v="347"/>
    <x v="1"/>
    <x v="8"/>
    <x v="1"/>
    <n v="4"/>
    <n v="1000"/>
    <s v="20%"/>
    <n v="3200"/>
    <n v="0.2"/>
  </r>
  <r>
    <n v="1359"/>
    <x v="232"/>
    <x v="348"/>
    <x v="3"/>
    <x v="11"/>
    <x v="2"/>
    <n v="3"/>
    <n v="300"/>
    <s v="5%"/>
    <n v="855"/>
    <n v="0.05"/>
  </r>
  <r>
    <n v="1360"/>
    <x v="233"/>
    <x v="349"/>
    <x v="0"/>
    <x v="3"/>
    <x v="1"/>
    <n v="10"/>
    <n v="300"/>
    <s v="20%"/>
    <n v="2400"/>
    <n v="0.2"/>
  </r>
  <r>
    <n v="1361"/>
    <x v="25"/>
    <x v="350"/>
    <x v="1"/>
    <x v="4"/>
    <x v="0"/>
    <n v="3"/>
    <n v="4500"/>
    <s v="0%"/>
    <n v="13500"/>
    <n v="0"/>
  </r>
  <r>
    <n v="1362"/>
    <x v="116"/>
    <x v="351"/>
    <x v="3"/>
    <x v="5"/>
    <x v="2"/>
    <n v="6"/>
    <n v="500"/>
    <s v="5%"/>
    <n v="2850"/>
    <n v="0.05"/>
  </r>
  <r>
    <n v="1363"/>
    <x v="234"/>
    <x v="352"/>
    <x v="0"/>
    <x v="5"/>
    <x v="2"/>
    <n v="1"/>
    <n v="300"/>
    <s v="20%"/>
    <n v="240"/>
    <n v="0.2"/>
  </r>
  <r>
    <n v="1364"/>
    <x v="53"/>
    <x v="353"/>
    <x v="3"/>
    <x v="3"/>
    <x v="1"/>
    <n v="7"/>
    <n v="250"/>
    <s v="10%"/>
    <n v="1575"/>
    <n v="0.1"/>
  </r>
  <r>
    <n v="1365"/>
    <x v="11"/>
    <x v="354"/>
    <x v="3"/>
    <x v="14"/>
    <x v="2"/>
    <n v="6"/>
    <n v="300"/>
    <s v="20%"/>
    <n v="1440"/>
    <n v="0.2"/>
  </r>
  <r>
    <n v="1366"/>
    <x v="154"/>
    <x v="355"/>
    <x v="2"/>
    <x v="11"/>
    <x v="2"/>
    <n v="3"/>
    <n v="300"/>
    <s v="0%"/>
    <n v="900"/>
    <n v="0"/>
  </r>
  <r>
    <n v="1367"/>
    <x v="18"/>
    <x v="356"/>
    <x v="1"/>
    <x v="9"/>
    <x v="1"/>
    <n v="6"/>
    <n v="500"/>
    <s v="20%"/>
    <n v="2400"/>
    <n v="0.2"/>
  </r>
  <r>
    <n v="1368"/>
    <x v="138"/>
    <x v="357"/>
    <x v="3"/>
    <x v="3"/>
    <x v="1"/>
    <n v="6"/>
    <n v="300"/>
    <s v="0%"/>
    <n v="1800"/>
    <n v="0"/>
  </r>
  <r>
    <n v="1369"/>
    <x v="154"/>
    <x v="358"/>
    <x v="1"/>
    <x v="3"/>
    <x v="1"/>
    <n v="5"/>
    <n v="250"/>
    <s v="0%"/>
    <n v="1250"/>
    <n v="0"/>
  </r>
  <r>
    <n v="1370"/>
    <x v="132"/>
    <x v="359"/>
    <x v="2"/>
    <x v="14"/>
    <x v="2"/>
    <n v="7"/>
    <n v="1500"/>
    <s v="20%"/>
    <n v="8400"/>
    <n v="0.2"/>
  </r>
  <r>
    <n v="1371"/>
    <x v="235"/>
    <x v="360"/>
    <x v="1"/>
    <x v="1"/>
    <x v="0"/>
    <n v="3"/>
    <n v="4500"/>
    <s v="0%"/>
    <n v="13500"/>
    <n v="0"/>
  </r>
  <r>
    <n v="1372"/>
    <x v="236"/>
    <x v="361"/>
    <x v="1"/>
    <x v="3"/>
    <x v="1"/>
    <n v="3"/>
    <n v="2500"/>
    <s v="5%"/>
    <n v="7125"/>
    <n v="0.05"/>
  </r>
  <r>
    <n v="1373"/>
    <x v="237"/>
    <x v="36"/>
    <x v="0"/>
    <x v="13"/>
    <x v="0"/>
    <n v="8"/>
    <n v="100"/>
    <s v="15%"/>
    <n v="680"/>
    <n v="0.15"/>
  </r>
  <r>
    <n v="1374"/>
    <x v="238"/>
    <x v="362"/>
    <x v="3"/>
    <x v="6"/>
    <x v="2"/>
    <n v="4"/>
    <n v="2500"/>
    <s v="20%"/>
    <n v="8000"/>
    <n v="0.2"/>
  </r>
  <r>
    <n v="1375"/>
    <x v="239"/>
    <x v="363"/>
    <x v="1"/>
    <x v="7"/>
    <x v="2"/>
    <n v="9"/>
    <n v="4500"/>
    <s v="5%"/>
    <n v="38475"/>
    <n v="0.05"/>
  </r>
  <r>
    <n v="1376"/>
    <x v="139"/>
    <x v="364"/>
    <x v="1"/>
    <x v="13"/>
    <x v="0"/>
    <n v="8"/>
    <n v="500"/>
    <s v="0%"/>
    <n v="4000"/>
    <n v="0"/>
  </r>
  <r>
    <n v="1377"/>
    <x v="240"/>
    <x v="365"/>
    <x v="2"/>
    <x v="5"/>
    <x v="2"/>
    <n v="5"/>
    <n v="2500"/>
    <s v="15%"/>
    <n v="10625"/>
    <n v="0.15"/>
  </r>
  <r>
    <n v="1378"/>
    <x v="72"/>
    <x v="366"/>
    <x v="0"/>
    <x v="6"/>
    <x v="2"/>
    <n v="6"/>
    <n v="2500"/>
    <s v="10%"/>
    <n v="13500"/>
    <n v="0.1"/>
  </r>
  <r>
    <n v="1379"/>
    <x v="66"/>
    <x v="367"/>
    <x v="1"/>
    <x v="3"/>
    <x v="1"/>
    <n v="10"/>
    <n v="100"/>
    <s v="5%"/>
    <n v="950"/>
    <n v="0.05"/>
  </r>
  <r>
    <n v="1380"/>
    <x v="67"/>
    <x v="368"/>
    <x v="2"/>
    <x v="1"/>
    <x v="0"/>
    <n v="9"/>
    <n v="100"/>
    <s v="15%"/>
    <n v="765"/>
    <n v="0.15"/>
  </r>
  <r>
    <n v="1381"/>
    <x v="241"/>
    <x v="369"/>
    <x v="2"/>
    <x v="1"/>
    <x v="0"/>
    <n v="8"/>
    <n v="1000"/>
    <s v="0%"/>
    <n v="8000"/>
    <n v="0"/>
  </r>
  <r>
    <n v="1382"/>
    <x v="82"/>
    <x v="370"/>
    <x v="2"/>
    <x v="13"/>
    <x v="0"/>
    <n v="10"/>
    <n v="300"/>
    <s v="0%"/>
    <n v="3000"/>
    <n v="0"/>
  </r>
  <r>
    <n v="1383"/>
    <x v="108"/>
    <x v="371"/>
    <x v="2"/>
    <x v="8"/>
    <x v="1"/>
    <n v="1"/>
    <n v="2500"/>
    <s v="0%"/>
    <n v="2500"/>
    <n v="0"/>
  </r>
  <r>
    <n v="1384"/>
    <x v="151"/>
    <x v="372"/>
    <x v="2"/>
    <x v="4"/>
    <x v="0"/>
    <n v="6"/>
    <n v="250"/>
    <s v="0%"/>
    <n v="1500"/>
    <n v="0"/>
  </r>
  <r>
    <n v="1385"/>
    <x v="187"/>
    <x v="373"/>
    <x v="2"/>
    <x v="12"/>
    <x v="0"/>
    <n v="1"/>
    <n v="2500"/>
    <s v="0%"/>
    <n v="2500"/>
    <n v="0"/>
  </r>
  <r>
    <n v="1386"/>
    <x v="158"/>
    <x v="374"/>
    <x v="3"/>
    <x v="10"/>
    <x v="1"/>
    <n v="10"/>
    <n v="250"/>
    <s v="10%"/>
    <n v="2250"/>
    <n v="0.1"/>
  </r>
  <r>
    <n v="1387"/>
    <x v="23"/>
    <x v="375"/>
    <x v="3"/>
    <x v="13"/>
    <x v="0"/>
    <n v="8"/>
    <n v="100"/>
    <s v="5%"/>
    <n v="760"/>
    <n v="0.05"/>
  </r>
  <r>
    <n v="1388"/>
    <x v="242"/>
    <x v="376"/>
    <x v="1"/>
    <x v="5"/>
    <x v="2"/>
    <n v="7"/>
    <n v="1500"/>
    <s v="5%"/>
    <n v="9975"/>
    <n v="0.05"/>
  </r>
  <r>
    <n v="1389"/>
    <x v="164"/>
    <x v="377"/>
    <x v="2"/>
    <x v="3"/>
    <x v="1"/>
    <n v="5"/>
    <n v="1000"/>
    <s v="10%"/>
    <n v="4500"/>
    <n v="0.1"/>
  </r>
  <r>
    <n v="1390"/>
    <x v="243"/>
    <x v="378"/>
    <x v="3"/>
    <x v="8"/>
    <x v="1"/>
    <n v="5"/>
    <n v="4500"/>
    <s v="10%"/>
    <n v="20250"/>
    <n v="0.1"/>
  </r>
  <r>
    <n v="1391"/>
    <x v="119"/>
    <x v="379"/>
    <x v="3"/>
    <x v="6"/>
    <x v="2"/>
    <n v="7"/>
    <n v="4500"/>
    <s v="20%"/>
    <n v="25200"/>
    <n v="0.2"/>
  </r>
  <r>
    <n v="1392"/>
    <x v="153"/>
    <x v="380"/>
    <x v="1"/>
    <x v="7"/>
    <x v="2"/>
    <n v="7"/>
    <n v="300"/>
    <s v="20%"/>
    <n v="1680"/>
    <n v="0.2"/>
  </r>
  <r>
    <n v="1393"/>
    <x v="244"/>
    <x v="381"/>
    <x v="3"/>
    <x v="8"/>
    <x v="1"/>
    <n v="1"/>
    <n v="4500"/>
    <s v="0%"/>
    <n v="4500"/>
    <n v="0"/>
  </r>
  <r>
    <n v="1394"/>
    <x v="55"/>
    <x v="382"/>
    <x v="3"/>
    <x v="12"/>
    <x v="0"/>
    <n v="2"/>
    <n v="100"/>
    <s v="5%"/>
    <n v="190"/>
    <n v="0.05"/>
  </r>
  <r>
    <n v="1395"/>
    <x v="93"/>
    <x v="383"/>
    <x v="0"/>
    <x v="7"/>
    <x v="2"/>
    <n v="9"/>
    <n v="1500"/>
    <s v="10%"/>
    <n v="12150"/>
    <n v="0.1"/>
  </r>
  <r>
    <n v="1396"/>
    <x v="245"/>
    <x v="384"/>
    <x v="0"/>
    <x v="3"/>
    <x v="1"/>
    <n v="1"/>
    <n v="2500"/>
    <s v="0%"/>
    <n v="2500"/>
    <n v="0"/>
  </r>
  <r>
    <n v="1397"/>
    <x v="220"/>
    <x v="385"/>
    <x v="1"/>
    <x v="8"/>
    <x v="1"/>
    <n v="4"/>
    <n v="1000"/>
    <s v="15%"/>
    <n v="3400"/>
    <n v="0.15"/>
  </r>
  <r>
    <n v="1398"/>
    <x v="246"/>
    <x v="386"/>
    <x v="3"/>
    <x v="6"/>
    <x v="2"/>
    <n v="3"/>
    <n v="100"/>
    <s v="5%"/>
    <n v="285"/>
    <n v="0.05"/>
  </r>
  <r>
    <n v="1399"/>
    <x v="247"/>
    <x v="387"/>
    <x v="2"/>
    <x v="4"/>
    <x v="0"/>
    <n v="7"/>
    <n v="2500"/>
    <s v="10%"/>
    <n v="15750"/>
    <n v="0.1"/>
  </r>
  <r>
    <n v="1400"/>
    <x v="86"/>
    <x v="388"/>
    <x v="3"/>
    <x v="12"/>
    <x v="0"/>
    <n v="10"/>
    <n v="250"/>
    <s v="0%"/>
    <n v="2500"/>
    <n v="0"/>
  </r>
  <r>
    <n v="1401"/>
    <x v="248"/>
    <x v="389"/>
    <x v="3"/>
    <x v="0"/>
    <x v="0"/>
    <n v="8"/>
    <n v="250"/>
    <s v="10%"/>
    <n v="1800"/>
    <n v="0.1"/>
  </r>
  <r>
    <n v="1402"/>
    <x v="127"/>
    <x v="390"/>
    <x v="0"/>
    <x v="4"/>
    <x v="0"/>
    <n v="4"/>
    <n v="300"/>
    <s v="20%"/>
    <n v="960"/>
    <n v="0.2"/>
  </r>
  <r>
    <n v="1403"/>
    <x v="249"/>
    <x v="391"/>
    <x v="2"/>
    <x v="12"/>
    <x v="0"/>
    <n v="6"/>
    <n v="300"/>
    <s v="0%"/>
    <n v="1800"/>
    <n v="0"/>
  </r>
  <r>
    <n v="1404"/>
    <x v="158"/>
    <x v="392"/>
    <x v="0"/>
    <x v="5"/>
    <x v="2"/>
    <n v="10"/>
    <n v="500"/>
    <s v="10%"/>
    <n v="4500"/>
    <n v="0.1"/>
  </r>
  <r>
    <n v="1405"/>
    <x v="250"/>
    <x v="393"/>
    <x v="0"/>
    <x v="4"/>
    <x v="0"/>
    <n v="9"/>
    <n v="1000"/>
    <s v="5%"/>
    <n v="8550"/>
    <n v="0.05"/>
  </r>
  <r>
    <n v="1406"/>
    <x v="251"/>
    <x v="394"/>
    <x v="0"/>
    <x v="13"/>
    <x v="0"/>
    <n v="3"/>
    <n v="1500"/>
    <s v="0%"/>
    <n v="4500"/>
    <n v="0"/>
  </r>
  <r>
    <n v="1407"/>
    <x v="133"/>
    <x v="318"/>
    <x v="1"/>
    <x v="11"/>
    <x v="2"/>
    <n v="5"/>
    <n v="1000"/>
    <s v="15%"/>
    <n v="4250"/>
    <n v="0.15"/>
  </r>
  <r>
    <n v="1408"/>
    <x v="96"/>
    <x v="395"/>
    <x v="1"/>
    <x v="0"/>
    <x v="0"/>
    <n v="8"/>
    <n v="500"/>
    <s v="20%"/>
    <n v="3200"/>
    <n v="0.2"/>
  </r>
  <r>
    <n v="1409"/>
    <x v="252"/>
    <x v="396"/>
    <x v="2"/>
    <x v="8"/>
    <x v="1"/>
    <n v="3"/>
    <n v="500"/>
    <s v="10%"/>
    <n v="1350"/>
    <n v="0.1"/>
  </r>
  <r>
    <n v="1410"/>
    <x v="253"/>
    <x v="397"/>
    <x v="3"/>
    <x v="3"/>
    <x v="1"/>
    <n v="3"/>
    <n v="250"/>
    <s v="15%"/>
    <n v="637.5"/>
    <n v="0.15"/>
  </r>
  <r>
    <n v="1411"/>
    <x v="51"/>
    <x v="398"/>
    <x v="0"/>
    <x v="2"/>
    <x v="1"/>
    <n v="5"/>
    <n v="500"/>
    <s v="5%"/>
    <n v="2375"/>
    <n v="0.05"/>
  </r>
  <r>
    <n v="1412"/>
    <x v="56"/>
    <x v="399"/>
    <x v="2"/>
    <x v="12"/>
    <x v="0"/>
    <n v="7"/>
    <n v="2500"/>
    <s v="15%"/>
    <n v="14875"/>
    <n v="0.15"/>
  </r>
  <r>
    <n v="1413"/>
    <x v="254"/>
    <x v="400"/>
    <x v="1"/>
    <x v="5"/>
    <x v="2"/>
    <n v="6"/>
    <n v="500"/>
    <s v="0%"/>
    <n v="3000"/>
    <n v="0"/>
  </r>
  <r>
    <n v="1414"/>
    <x v="191"/>
    <x v="401"/>
    <x v="3"/>
    <x v="11"/>
    <x v="2"/>
    <n v="3"/>
    <n v="250"/>
    <s v="15%"/>
    <n v="637.5"/>
    <n v="0.15"/>
  </r>
  <r>
    <n v="1415"/>
    <x v="255"/>
    <x v="402"/>
    <x v="0"/>
    <x v="14"/>
    <x v="2"/>
    <n v="9"/>
    <n v="1500"/>
    <s v="15%"/>
    <n v="11475"/>
    <n v="0.15"/>
  </r>
  <r>
    <n v="1416"/>
    <x v="256"/>
    <x v="403"/>
    <x v="0"/>
    <x v="8"/>
    <x v="1"/>
    <n v="7"/>
    <n v="100"/>
    <s v="5%"/>
    <n v="665"/>
    <n v="0.05"/>
  </r>
  <r>
    <n v="1417"/>
    <x v="146"/>
    <x v="404"/>
    <x v="1"/>
    <x v="13"/>
    <x v="0"/>
    <n v="3"/>
    <n v="250"/>
    <s v="10%"/>
    <n v="675"/>
    <n v="0.1"/>
  </r>
  <r>
    <n v="1418"/>
    <x v="14"/>
    <x v="405"/>
    <x v="1"/>
    <x v="0"/>
    <x v="0"/>
    <n v="10"/>
    <n v="100"/>
    <s v="0%"/>
    <n v="1000"/>
    <n v="0"/>
  </r>
  <r>
    <n v="1419"/>
    <x v="203"/>
    <x v="406"/>
    <x v="0"/>
    <x v="9"/>
    <x v="1"/>
    <n v="5"/>
    <n v="4500"/>
    <s v="5%"/>
    <n v="21375"/>
    <n v="0.05"/>
  </r>
  <r>
    <n v="1420"/>
    <x v="175"/>
    <x v="407"/>
    <x v="0"/>
    <x v="0"/>
    <x v="0"/>
    <n v="9"/>
    <n v="1000"/>
    <s v="20%"/>
    <n v="7200"/>
    <n v="0.2"/>
  </r>
  <r>
    <n v="1421"/>
    <x v="11"/>
    <x v="408"/>
    <x v="2"/>
    <x v="0"/>
    <x v="0"/>
    <n v="5"/>
    <n v="250"/>
    <s v="0%"/>
    <n v="1250"/>
    <n v="0"/>
  </r>
  <r>
    <n v="1422"/>
    <x v="239"/>
    <x v="409"/>
    <x v="0"/>
    <x v="1"/>
    <x v="0"/>
    <n v="6"/>
    <n v="2500"/>
    <s v="10%"/>
    <n v="13500"/>
    <n v="0.1"/>
  </r>
  <r>
    <n v="1423"/>
    <x v="192"/>
    <x v="410"/>
    <x v="1"/>
    <x v="11"/>
    <x v="2"/>
    <n v="4"/>
    <n v="100"/>
    <s v="0%"/>
    <n v="400"/>
    <n v="0"/>
  </r>
  <r>
    <n v="1424"/>
    <x v="4"/>
    <x v="411"/>
    <x v="3"/>
    <x v="10"/>
    <x v="1"/>
    <n v="9"/>
    <n v="250"/>
    <s v="0%"/>
    <n v="2250"/>
    <n v="0"/>
  </r>
  <r>
    <n v="1425"/>
    <x v="60"/>
    <x v="412"/>
    <x v="1"/>
    <x v="14"/>
    <x v="2"/>
    <n v="1"/>
    <n v="250"/>
    <s v="5%"/>
    <n v="237.5"/>
    <n v="0.05"/>
  </r>
  <r>
    <n v="1426"/>
    <x v="257"/>
    <x v="413"/>
    <x v="0"/>
    <x v="5"/>
    <x v="2"/>
    <n v="2"/>
    <n v="100"/>
    <s v="0%"/>
    <n v="200"/>
    <n v="0"/>
  </r>
  <r>
    <n v="1427"/>
    <x v="155"/>
    <x v="414"/>
    <x v="3"/>
    <x v="7"/>
    <x v="2"/>
    <n v="5"/>
    <n v="250"/>
    <s v="10%"/>
    <n v="1125"/>
    <n v="0.1"/>
  </r>
  <r>
    <n v="1428"/>
    <x v="230"/>
    <x v="415"/>
    <x v="1"/>
    <x v="14"/>
    <x v="2"/>
    <n v="8"/>
    <n v="2500"/>
    <s v="5%"/>
    <n v="19000"/>
    <n v="0.05"/>
  </r>
  <r>
    <n v="1429"/>
    <x v="27"/>
    <x v="416"/>
    <x v="2"/>
    <x v="10"/>
    <x v="1"/>
    <n v="7"/>
    <n v="4500"/>
    <s v="20%"/>
    <n v="25200"/>
    <n v="0.2"/>
  </r>
  <r>
    <n v="1430"/>
    <x v="258"/>
    <x v="417"/>
    <x v="2"/>
    <x v="8"/>
    <x v="1"/>
    <n v="8"/>
    <n v="4500"/>
    <s v="0%"/>
    <n v="36000"/>
    <n v="0"/>
  </r>
  <r>
    <n v="1431"/>
    <x v="231"/>
    <x v="418"/>
    <x v="1"/>
    <x v="9"/>
    <x v="1"/>
    <n v="10"/>
    <n v="500"/>
    <s v="10%"/>
    <n v="4500"/>
    <n v="0.1"/>
  </r>
  <r>
    <n v="1432"/>
    <x v="230"/>
    <x v="419"/>
    <x v="0"/>
    <x v="12"/>
    <x v="0"/>
    <n v="3"/>
    <n v="100"/>
    <s v="0%"/>
    <n v="300"/>
    <n v="0"/>
  </r>
  <r>
    <n v="1433"/>
    <x v="259"/>
    <x v="420"/>
    <x v="3"/>
    <x v="10"/>
    <x v="1"/>
    <n v="8"/>
    <n v="1500"/>
    <s v="5%"/>
    <n v="11400"/>
    <n v="0.05"/>
  </r>
  <r>
    <n v="1434"/>
    <x v="11"/>
    <x v="421"/>
    <x v="2"/>
    <x v="12"/>
    <x v="0"/>
    <n v="7"/>
    <n v="500"/>
    <s v="0%"/>
    <n v="3500"/>
    <n v="0"/>
  </r>
  <r>
    <n v="1435"/>
    <x v="10"/>
    <x v="422"/>
    <x v="1"/>
    <x v="14"/>
    <x v="2"/>
    <n v="6"/>
    <n v="250"/>
    <s v="15%"/>
    <n v="1275"/>
    <n v="0.15"/>
  </r>
  <r>
    <n v="1436"/>
    <x v="207"/>
    <x v="423"/>
    <x v="0"/>
    <x v="10"/>
    <x v="1"/>
    <n v="10"/>
    <n v="1000"/>
    <s v="20%"/>
    <n v="8000"/>
    <n v="0.2"/>
  </r>
  <r>
    <n v="1437"/>
    <x v="65"/>
    <x v="424"/>
    <x v="2"/>
    <x v="8"/>
    <x v="1"/>
    <n v="8"/>
    <n v="1500"/>
    <s v="20%"/>
    <n v="9600"/>
    <n v="0.2"/>
  </r>
  <r>
    <n v="1438"/>
    <x v="122"/>
    <x v="425"/>
    <x v="3"/>
    <x v="8"/>
    <x v="1"/>
    <n v="1"/>
    <n v="1500"/>
    <s v="10%"/>
    <n v="1350"/>
    <n v="0.1"/>
  </r>
  <r>
    <n v="1439"/>
    <x v="128"/>
    <x v="426"/>
    <x v="3"/>
    <x v="2"/>
    <x v="1"/>
    <n v="3"/>
    <n v="2500"/>
    <s v="0%"/>
    <n v="7500"/>
    <n v="0"/>
  </r>
  <r>
    <n v="1440"/>
    <x v="73"/>
    <x v="427"/>
    <x v="1"/>
    <x v="6"/>
    <x v="2"/>
    <n v="8"/>
    <n v="500"/>
    <s v="10%"/>
    <n v="3600"/>
    <n v="0.1"/>
  </r>
  <r>
    <n v="1441"/>
    <x v="260"/>
    <x v="19"/>
    <x v="0"/>
    <x v="13"/>
    <x v="0"/>
    <n v="2"/>
    <n v="4500"/>
    <s v="15%"/>
    <n v="7650"/>
    <n v="0.15"/>
  </r>
  <r>
    <n v="1442"/>
    <x v="261"/>
    <x v="428"/>
    <x v="0"/>
    <x v="12"/>
    <x v="0"/>
    <n v="10"/>
    <n v="4500"/>
    <s v="20%"/>
    <n v="36000"/>
    <n v="0.2"/>
  </r>
  <r>
    <n v="1443"/>
    <x v="262"/>
    <x v="429"/>
    <x v="2"/>
    <x v="2"/>
    <x v="1"/>
    <n v="10"/>
    <n v="1500"/>
    <s v="20%"/>
    <n v="12000"/>
    <n v="0.2"/>
  </r>
  <r>
    <n v="1444"/>
    <x v="164"/>
    <x v="430"/>
    <x v="2"/>
    <x v="3"/>
    <x v="1"/>
    <n v="7"/>
    <n v="1500"/>
    <s v="10%"/>
    <n v="9450"/>
    <n v="0.1"/>
  </r>
  <r>
    <n v="1445"/>
    <x v="53"/>
    <x v="431"/>
    <x v="0"/>
    <x v="13"/>
    <x v="0"/>
    <n v="5"/>
    <n v="1500"/>
    <s v="20%"/>
    <n v="6000"/>
    <n v="0.2"/>
  </r>
  <r>
    <n v="1446"/>
    <x v="173"/>
    <x v="432"/>
    <x v="3"/>
    <x v="6"/>
    <x v="2"/>
    <n v="3"/>
    <n v="1500"/>
    <s v="0%"/>
    <n v="4500"/>
    <n v="0"/>
  </r>
  <r>
    <n v="1447"/>
    <x v="253"/>
    <x v="433"/>
    <x v="1"/>
    <x v="12"/>
    <x v="0"/>
    <n v="9"/>
    <n v="1000"/>
    <s v="15%"/>
    <n v="7650"/>
    <n v="0.15"/>
  </r>
  <r>
    <n v="1448"/>
    <x v="263"/>
    <x v="434"/>
    <x v="3"/>
    <x v="0"/>
    <x v="0"/>
    <n v="4"/>
    <n v="1000"/>
    <s v="5%"/>
    <n v="3800"/>
    <n v="0.05"/>
  </r>
  <r>
    <n v="1449"/>
    <x v="30"/>
    <x v="435"/>
    <x v="2"/>
    <x v="6"/>
    <x v="2"/>
    <n v="9"/>
    <n v="100"/>
    <s v="10%"/>
    <n v="810"/>
    <n v="0.1"/>
  </r>
  <r>
    <n v="1450"/>
    <x v="0"/>
    <x v="436"/>
    <x v="3"/>
    <x v="9"/>
    <x v="1"/>
    <n v="7"/>
    <n v="500"/>
    <s v="20%"/>
    <n v="2800"/>
    <n v="0.2"/>
  </r>
  <r>
    <n v="1451"/>
    <x v="116"/>
    <x v="437"/>
    <x v="3"/>
    <x v="11"/>
    <x v="2"/>
    <n v="9"/>
    <n v="100"/>
    <s v="0%"/>
    <n v="900"/>
    <n v="0"/>
  </r>
  <r>
    <n v="1452"/>
    <x v="185"/>
    <x v="438"/>
    <x v="3"/>
    <x v="6"/>
    <x v="2"/>
    <n v="6"/>
    <n v="500"/>
    <s v="5%"/>
    <n v="2850"/>
    <n v="0.05"/>
  </r>
  <r>
    <n v="1453"/>
    <x v="29"/>
    <x v="439"/>
    <x v="2"/>
    <x v="9"/>
    <x v="1"/>
    <n v="2"/>
    <n v="2500"/>
    <s v="0%"/>
    <n v="5000"/>
    <n v="0"/>
  </r>
  <r>
    <n v="1454"/>
    <x v="123"/>
    <x v="440"/>
    <x v="1"/>
    <x v="5"/>
    <x v="2"/>
    <n v="6"/>
    <n v="4500"/>
    <s v="5%"/>
    <n v="25650"/>
    <n v="0.05"/>
  </r>
  <r>
    <n v="1455"/>
    <x v="50"/>
    <x v="441"/>
    <x v="3"/>
    <x v="13"/>
    <x v="0"/>
    <n v="5"/>
    <n v="4500"/>
    <s v="20%"/>
    <n v="18000"/>
    <n v="0.2"/>
  </r>
  <r>
    <n v="1456"/>
    <x v="241"/>
    <x v="442"/>
    <x v="2"/>
    <x v="9"/>
    <x v="1"/>
    <n v="2"/>
    <n v="300"/>
    <s v="15%"/>
    <n v="510"/>
    <n v="0.15"/>
  </r>
  <r>
    <n v="1457"/>
    <x v="28"/>
    <x v="443"/>
    <x v="2"/>
    <x v="11"/>
    <x v="2"/>
    <n v="6"/>
    <n v="1000"/>
    <s v="5%"/>
    <n v="5700"/>
    <n v="0.05"/>
  </r>
  <r>
    <n v="1458"/>
    <x v="183"/>
    <x v="444"/>
    <x v="0"/>
    <x v="10"/>
    <x v="1"/>
    <n v="6"/>
    <n v="4500"/>
    <s v="5%"/>
    <n v="25650"/>
    <n v="0.05"/>
  </r>
  <r>
    <n v="1459"/>
    <x v="264"/>
    <x v="445"/>
    <x v="3"/>
    <x v="2"/>
    <x v="1"/>
    <n v="5"/>
    <n v="1000"/>
    <s v="0%"/>
    <n v="5000"/>
    <n v="0"/>
  </r>
  <r>
    <n v="1460"/>
    <x v="124"/>
    <x v="446"/>
    <x v="0"/>
    <x v="6"/>
    <x v="2"/>
    <n v="6"/>
    <n v="250"/>
    <s v="0%"/>
    <n v="1500"/>
    <n v="0"/>
  </r>
  <r>
    <n v="1461"/>
    <x v="115"/>
    <x v="447"/>
    <x v="1"/>
    <x v="0"/>
    <x v="0"/>
    <n v="4"/>
    <n v="500"/>
    <s v="15%"/>
    <n v="1700"/>
    <n v="0.15"/>
  </r>
  <r>
    <n v="1462"/>
    <x v="265"/>
    <x v="448"/>
    <x v="2"/>
    <x v="12"/>
    <x v="0"/>
    <n v="2"/>
    <n v="300"/>
    <s v="0%"/>
    <n v="600"/>
    <n v="0"/>
  </r>
  <r>
    <n v="1463"/>
    <x v="266"/>
    <x v="449"/>
    <x v="0"/>
    <x v="3"/>
    <x v="1"/>
    <n v="9"/>
    <n v="250"/>
    <s v="20%"/>
    <n v="1800"/>
    <n v="0.2"/>
  </r>
  <r>
    <n v="1464"/>
    <x v="67"/>
    <x v="450"/>
    <x v="1"/>
    <x v="14"/>
    <x v="2"/>
    <n v="6"/>
    <n v="100"/>
    <s v="15%"/>
    <n v="510"/>
    <n v="0.15"/>
  </r>
  <r>
    <n v="1465"/>
    <x v="74"/>
    <x v="451"/>
    <x v="1"/>
    <x v="13"/>
    <x v="0"/>
    <n v="1"/>
    <n v="250"/>
    <s v="10%"/>
    <n v="225"/>
    <n v="0.1"/>
  </r>
  <r>
    <n v="1466"/>
    <x v="89"/>
    <x v="452"/>
    <x v="2"/>
    <x v="14"/>
    <x v="2"/>
    <n v="7"/>
    <n v="2500"/>
    <s v="0%"/>
    <n v="17500"/>
    <n v="0"/>
  </r>
  <r>
    <n v="1467"/>
    <x v="10"/>
    <x v="453"/>
    <x v="1"/>
    <x v="4"/>
    <x v="0"/>
    <n v="3"/>
    <n v="1000"/>
    <s v="10%"/>
    <n v="2700"/>
    <n v="0.1"/>
  </r>
  <r>
    <n v="1468"/>
    <x v="164"/>
    <x v="454"/>
    <x v="1"/>
    <x v="9"/>
    <x v="1"/>
    <n v="10"/>
    <n v="2500"/>
    <s v="20%"/>
    <n v="20000"/>
    <n v="0.2"/>
  </r>
  <r>
    <n v="1469"/>
    <x v="41"/>
    <x v="455"/>
    <x v="0"/>
    <x v="6"/>
    <x v="2"/>
    <n v="7"/>
    <n v="300"/>
    <s v="5%"/>
    <n v="1995"/>
    <n v="0.05"/>
  </r>
  <r>
    <n v="1470"/>
    <x v="253"/>
    <x v="456"/>
    <x v="1"/>
    <x v="9"/>
    <x v="1"/>
    <n v="1"/>
    <n v="4500"/>
    <s v="20%"/>
    <n v="3600"/>
    <n v="0.2"/>
  </r>
  <r>
    <n v="1471"/>
    <x v="210"/>
    <x v="457"/>
    <x v="0"/>
    <x v="13"/>
    <x v="0"/>
    <n v="8"/>
    <n v="1500"/>
    <s v="10%"/>
    <n v="10800"/>
    <n v="0.1"/>
  </r>
  <r>
    <n v="1472"/>
    <x v="23"/>
    <x v="458"/>
    <x v="3"/>
    <x v="8"/>
    <x v="1"/>
    <n v="6"/>
    <n v="4500"/>
    <s v="15%"/>
    <n v="22950"/>
    <n v="0.15"/>
  </r>
  <r>
    <n v="1473"/>
    <x v="267"/>
    <x v="459"/>
    <x v="4"/>
    <x v="13"/>
    <x v="0"/>
    <n v="6"/>
    <n v="1500"/>
    <s v="15%"/>
    <n v="7650"/>
    <n v="0.15"/>
  </r>
  <r>
    <n v="1474"/>
    <x v="268"/>
    <x v="460"/>
    <x v="3"/>
    <x v="12"/>
    <x v="0"/>
    <n v="5"/>
    <n v="1500"/>
    <s v="5%"/>
    <n v="7125"/>
    <n v="0.05"/>
  </r>
  <r>
    <n v="1475"/>
    <x v="18"/>
    <x v="461"/>
    <x v="1"/>
    <x v="14"/>
    <x v="2"/>
    <n v="9"/>
    <n v="250"/>
    <s v="5%"/>
    <n v="2137.5"/>
    <n v="0.05"/>
  </r>
  <r>
    <n v="1476"/>
    <x v="59"/>
    <x v="462"/>
    <x v="1"/>
    <x v="1"/>
    <x v="0"/>
    <n v="5"/>
    <n v="250"/>
    <s v="0%"/>
    <n v="1250"/>
    <n v="0"/>
  </r>
  <r>
    <n v="1477"/>
    <x v="44"/>
    <x v="463"/>
    <x v="3"/>
    <x v="12"/>
    <x v="0"/>
    <n v="10"/>
    <n v="500"/>
    <s v="0%"/>
    <n v="5000"/>
    <n v="0"/>
  </r>
  <r>
    <n v="1478"/>
    <x v="269"/>
    <x v="464"/>
    <x v="3"/>
    <x v="3"/>
    <x v="1"/>
    <n v="7"/>
    <n v="500"/>
    <s v="20%"/>
    <n v="2800"/>
    <n v="0.2"/>
  </r>
  <r>
    <n v="1479"/>
    <x v="25"/>
    <x v="465"/>
    <x v="0"/>
    <x v="7"/>
    <x v="2"/>
    <n v="1"/>
    <n v="500"/>
    <s v="20%"/>
    <n v="400"/>
    <n v="0.2"/>
  </r>
  <r>
    <n v="1480"/>
    <x v="243"/>
    <x v="466"/>
    <x v="1"/>
    <x v="13"/>
    <x v="0"/>
    <n v="3"/>
    <n v="4500"/>
    <s v="10%"/>
    <n v="12150"/>
    <n v="0.1"/>
  </r>
  <r>
    <n v="1481"/>
    <x v="270"/>
    <x v="467"/>
    <x v="3"/>
    <x v="6"/>
    <x v="2"/>
    <n v="1"/>
    <n v="500"/>
    <s v="20%"/>
    <n v="400"/>
    <n v="0.2"/>
  </r>
  <r>
    <n v="1482"/>
    <x v="165"/>
    <x v="468"/>
    <x v="0"/>
    <x v="3"/>
    <x v="1"/>
    <n v="2"/>
    <n v="1000"/>
    <s v="10%"/>
    <n v="1800"/>
    <n v="0.1"/>
  </r>
  <r>
    <n v="1483"/>
    <x v="228"/>
    <x v="175"/>
    <x v="2"/>
    <x v="9"/>
    <x v="1"/>
    <n v="5"/>
    <n v="2500"/>
    <s v="5%"/>
    <n v="11875"/>
    <n v="0.05"/>
  </r>
  <r>
    <n v="1484"/>
    <x v="124"/>
    <x v="469"/>
    <x v="0"/>
    <x v="7"/>
    <x v="2"/>
    <n v="1"/>
    <n v="300"/>
    <s v="15%"/>
    <n v="255"/>
    <n v="0.15"/>
  </r>
  <r>
    <n v="1485"/>
    <x v="271"/>
    <x v="470"/>
    <x v="1"/>
    <x v="8"/>
    <x v="1"/>
    <n v="3"/>
    <n v="1500"/>
    <s v="20%"/>
    <n v="3600"/>
    <n v="0.2"/>
  </r>
  <r>
    <n v="1486"/>
    <x v="112"/>
    <x v="471"/>
    <x v="0"/>
    <x v="2"/>
    <x v="1"/>
    <n v="8"/>
    <n v="4500"/>
    <s v="5%"/>
    <n v="34200"/>
    <n v="0.05"/>
  </r>
  <r>
    <n v="1487"/>
    <x v="272"/>
    <x v="472"/>
    <x v="1"/>
    <x v="9"/>
    <x v="1"/>
    <n v="10"/>
    <n v="300"/>
    <s v="5%"/>
    <n v="2850"/>
    <n v="0.05"/>
  </r>
  <r>
    <n v="1488"/>
    <x v="124"/>
    <x v="473"/>
    <x v="1"/>
    <x v="9"/>
    <x v="1"/>
    <n v="7"/>
    <n v="100"/>
    <s v="10%"/>
    <n v="630"/>
    <n v="0.1"/>
  </r>
  <r>
    <n v="1489"/>
    <x v="248"/>
    <x v="474"/>
    <x v="0"/>
    <x v="6"/>
    <x v="2"/>
    <n v="4"/>
    <n v="2500"/>
    <s v="20%"/>
    <n v="8000"/>
    <n v="0.2"/>
  </r>
  <r>
    <n v="1490"/>
    <x v="116"/>
    <x v="475"/>
    <x v="2"/>
    <x v="13"/>
    <x v="0"/>
    <n v="5"/>
    <n v="300"/>
    <s v="10%"/>
    <n v="1350"/>
    <n v="0.1"/>
  </r>
  <r>
    <n v="1491"/>
    <x v="273"/>
    <x v="476"/>
    <x v="2"/>
    <x v="10"/>
    <x v="1"/>
    <n v="1"/>
    <n v="500"/>
    <s v="20%"/>
    <n v="400"/>
    <n v="0.2"/>
  </r>
  <r>
    <n v="1492"/>
    <x v="170"/>
    <x v="477"/>
    <x v="2"/>
    <x v="13"/>
    <x v="0"/>
    <n v="1"/>
    <n v="250"/>
    <s v="0%"/>
    <n v="250"/>
    <n v="0"/>
  </r>
  <r>
    <n v="1493"/>
    <x v="34"/>
    <x v="478"/>
    <x v="1"/>
    <x v="2"/>
    <x v="1"/>
    <n v="9"/>
    <n v="2500"/>
    <s v="10%"/>
    <n v="20250"/>
    <n v="0.1"/>
  </r>
  <r>
    <n v="1494"/>
    <x v="274"/>
    <x v="479"/>
    <x v="0"/>
    <x v="14"/>
    <x v="2"/>
    <n v="6"/>
    <n v="250"/>
    <s v="15%"/>
    <n v="1275"/>
    <n v="0.15"/>
  </r>
  <r>
    <n v="1495"/>
    <x v="275"/>
    <x v="480"/>
    <x v="4"/>
    <x v="3"/>
    <x v="1"/>
    <n v="10"/>
    <n v="1354.67"/>
    <s v="10%"/>
    <n v="12192.03"/>
    <n v="0.1"/>
  </r>
  <r>
    <n v="1496"/>
    <x v="159"/>
    <x v="481"/>
    <x v="0"/>
    <x v="0"/>
    <x v="0"/>
    <n v="9"/>
    <n v="100"/>
    <s v="15%"/>
    <n v="765"/>
    <n v="0.15"/>
  </r>
  <r>
    <n v="1497"/>
    <x v="276"/>
    <x v="482"/>
    <x v="2"/>
    <x v="2"/>
    <x v="1"/>
    <n v="10"/>
    <n v="1000"/>
    <s v="10%"/>
    <n v="9000"/>
    <n v="0.1"/>
  </r>
  <r>
    <n v="1498"/>
    <x v="237"/>
    <x v="483"/>
    <x v="3"/>
    <x v="6"/>
    <x v="2"/>
    <n v="7"/>
    <n v="4500"/>
    <s v="5%"/>
    <n v="29925"/>
    <n v="0.05"/>
  </r>
  <r>
    <n v="1499"/>
    <x v="66"/>
    <x v="484"/>
    <x v="0"/>
    <x v="4"/>
    <x v="0"/>
    <n v="7"/>
    <n v="300"/>
    <s v="0%"/>
    <n v="2100"/>
    <n v="0"/>
  </r>
  <r>
    <n v="1500"/>
    <x v="277"/>
    <x v="485"/>
    <x v="1"/>
    <x v="9"/>
    <x v="1"/>
    <n v="7"/>
    <n v="1354.67"/>
    <s v="20%"/>
    <n v="7586.152000000001"/>
    <n v="0.2"/>
  </r>
  <r>
    <n v="1501"/>
    <x v="59"/>
    <x v="486"/>
    <x v="1"/>
    <x v="8"/>
    <x v="1"/>
    <n v="8"/>
    <n v="2500"/>
    <s v="0%"/>
    <n v="20000"/>
    <n v="0"/>
  </r>
  <r>
    <n v="1502"/>
    <x v="44"/>
    <x v="487"/>
    <x v="1"/>
    <x v="12"/>
    <x v="0"/>
    <n v="7"/>
    <n v="1000"/>
    <s v="20%"/>
    <n v="5600"/>
    <n v="0.2"/>
  </r>
  <r>
    <n v="1503"/>
    <x v="278"/>
    <x v="488"/>
    <x v="1"/>
    <x v="5"/>
    <x v="2"/>
    <n v="4"/>
    <n v="1000"/>
    <s v="5%"/>
    <n v="3800"/>
    <n v="0.05"/>
  </r>
  <r>
    <n v="1504"/>
    <x v="279"/>
    <x v="489"/>
    <x v="1"/>
    <x v="1"/>
    <x v="0"/>
    <n v="1"/>
    <n v="1500"/>
    <s v="5%"/>
    <n v="1425"/>
    <n v="0.05"/>
  </r>
  <r>
    <n v="1505"/>
    <x v="280"/>
    <x v="490"/>
    <x v="0"/>
    <x v="11"/>
    <x v="2"/>
    <n v="7"/>
    <n v="2500"/>
    <s v="20%"/>
    <n v="14000"/>
    <n v="0.2"/>
  </r>
  <r>
    <n v="1506"/>
    <x v="58"/>
    <x v="491"/>
    <x v="3"/>
    <x v="9"/>
    <x v="1"/>
    <n v="5"/>
    <n v="1500"/>
    <s v="10%"/>
    <n v="6750"/>
    <n v="0.1"/>
  </r>
  <r>
    <n v="1507"/>
    <x v="281"/>
    <x v="492"/>
    <x v="2"/>
    <x v="7"/>
    <x v="2"/>
    <n v="1"/>
    <n v="1000"/>
    <s v="5%"/>
    <n v="950"/>
    <n v="0.05"/>
  </r>
  <r>
    <n v="1508"/>
    <x v="282"/>
    <x v="493"/>
    <x v="3"/>
    <x v="5"/>
    <x v="2"/>
    <n v="9"/>
    <n v="1000"/>
    <s v="20%"/>
    <n v="7200"/>
    <n v="0.2"/>
  </r>
  <r>
    <n v="1509"/>
    <x v="282"/>
    <x v="494"/>
    <x v="1"/>
    <x v="3"/>
    <x v="1"/>
    <n v="8"/>
    <n v="4500"/>
    <s v="20%"/>
    <n v="28800"/>
    <n v="0.2"/>
  </r>
  <r>
    <n v="1510"/>
    <x v="60"/>
    <x v="495"/>
    <x v="1"/>
    <x v="8"/>
    <x v="1"/>
    <n v="6"/>
    <n v="2500"/>
    <s v="10%"/>
    <n v="13500"/>
    <n v="0.1"/>
  </r>
  <r>
    <n v="1511"/>
    <x v="205"/>
    <x v="496"/>
    <x v="3"/>
    <x v="11"/>
    <x v="2"/>
    <n v="2"/>
    <n v="300"/>
    <s v="15%"/>
    <n v="510"/>
    <n v="0.15"/>
  </r>
  <r>
    <n v="1512"/>
    <x v="283"/>
    <x v="497"/>
    <x v="0"/>
    <x v="1"/>
    <x v="0"/>
    <n v="8"/>
    <n v="500"/>
    <s v="5%"/>
    <n v="3800"/>
    <n v="0.05"/>
  </r>
  <r>
    <n v="1513"/>
    <x v="197"/>
    <x v="498"/>
    <x v="1"/>
    <x v="9"/>
    <x v="1"/>
    <n v="6"/>
    <n v="300"/>
    <s v="0%"/>
    <n v="1800"/>
    <n v="0"/>
  </r>
  <r>
    <n v="1514"/>
    <x v="284"/>
    <x v="499"/>
    <x v="3"/>
    <x v="0"/>
    <x v="0"/>
    <n v="9"/>
    <n v="100"/>
    <s v="15%"/>
    <n v="765"/>
    <n v="0.15"/>
  </r>
  <r>
    <n v="1515"/>
    <x v="9"/>
    <x v="500"/>
    <x v="3"/>
    <x v="4"/>
    <x v="0"/>
    <n v="8"/>
    <n v="300"/>
    <s v="20%"/>
    <n v="1920"/>
    <n v="0.2"/>
  </r>
  <r>
    <n v="1516"/>
    <x v="106"/>
    <x v="501"/>
    <x v="3"/>
    <x v="12"/>
    <x v="0"/>
    <n v="8"/>
    <n v="100"/>
    <s v="20%"/>
    <n v="640"/>
    <n v="0.2"/>
  </r>
  <r>
    <n v="1517"/>
    <x v="285"/>
    <x v="502"/>
    <x v="1"/>
    <x v="9"/>
    <x v="1"/>
    <n v="8"/>
    <n v="1500"/>
    <s v="0%"/>
    <n v="12000"/>
    <n v="0"/>
  </r>
  <r>
    <n v="1518"/>
    <x v="221"/>
    <x v="503"/>
    <x v="3"/>
    <x v="7"/>
    <x v="2"/>
    <n v="5"/>
    <n v="300"/>
    <s v="20%"/>
    <n v="1200"/>
    <n v="0.2"/>
  </r>
  <r>
    <n v="1519"/>
    <x v="286"/>
    <x v="504"/>
    <x v="2"/>
    <x v="6"/>
    <x v="2"/>
    <n v="8"/>
    <n v="2500"/>
    <s v="5%"/>
    <n v="19000"/>
    <n v="0.05"/>
  </r>
  <r>
    <n v="1520"/>
    <x v="287"/>
    <x v="505"/>
    <x v="0"/>
    <x v="14"/>
    <x v="2"/>
    <n v="3"/>
    <n v="300"/>
    <s v="20%"/>
    <n v="720"/>
    <n v="0.2"/>
  </r>
  <r>
    <n v="1521"/>
    <x v="140"/>
    <x v="19"/>
    <x v="0"/>
    <x v="12"/>
    <x v="0"/>
    <n v="7"/>
    <n v="500"/>
    <s v="5%"/>
    <n v="3325"/>
    <n v="0.05"/>
  </r>
  <r>
    <n v="1522"/>
    <x v="184"/>
    <x v="506"/>
    <x v="3"/>
    <x v="9"/>
    <x v="1"/>
    <n v="9"/>
    <n v="1500"/>
    <s v="15%"/>
    <n v="11475"/>
    <n v="0.15"/>
  </r>
  <r>
    <n v="1523"/>
    <x v="76"/>
    <x v="507"/>
    <x v="2"/>
    <x v="8"/>
    <x v="1"/>
    <n v="1"/>
    <n v="500"/>
    <s v="10%"/>
    <n v="450"/>
    <n v="0.1"/>
  </r>
  <r>
    <n v="1524"/>
    <x v="288"/>
    <x v="508"/>
    <x v="1"/>
    <x v="11"/>
    <x v="2"/>
    <n v="6"/>
    <n v="1000"/>
    <s v="10%"/>
    <n v="5400"/>
    <n v="0.1"/>
  </r>
  <r>
    <n v="1525"/>
    <x v="289"/>
    <x v="509"/>
    <x v="3"/>
    <x v="1"/>
    <x v="0"/>
    <n v="10"/>
    <n v="300"/>
    <s v="10%"/>
    <n v="2700"/>
    <n v="0.1"/>
  </r>
  <r>
    <n v="1526"/>
    <x v="202"/>
    <x v="510"/>
    <x v="0"/>
    <x v="5"/>
    <x v="2"/>
    <n v="7"/>
    <n v="1000"/>
    <s v="15%"/>
    <n v="5950"/>
    <n v="0.15"/>
  </r>
  <r>
    <n v="1527"/>
    <x v="290"/>
    <x v="511"/>
    <x v="1"/>
    <x v="7"/>
    <x v="2"/>
    <n v="10"/>
    <n v="2500"/>
    <s v="0%"/>
    <n v="25000"/>
    <n v="0"/>
  </r>
  <r>
    <n v="1528"/>
    <x v="137"/>
    <x v="512"/>
    <x v="2"/>
    <x v="11"/>
    <x v="2"/>
    <n v="10"/>
    <n v="2500"/>
    <s v="10%"/>
    <n v="22500"/>
    <n v="0.1"/>
  </r>
  <r>
    <n v="1529"/>
    <x v="27"/>
    <x v="513"/>
    <x v="1"/>
    <x v="12"/>
    <x v="0"/>
    <n v="7"/>
    <n v="300"/>
    <s v="5%"/>
    <n v="1995"/>
    <n v="0.05"/>
  </r>
  <r>
    <n v="1530"/>
    <x v="257"/>
    <x v="514"/>
    <x v="1"/>
    <x v="0"/>
    <x v="0"/>
    <n v="4"/>
    <n v="300"/>
    <s v="15%"/>
    <n v="1020"/>
    <n v="0.15"/>
  </r>
  <r>
    <n v="1531"/>
    <x v="218"/>
    <x v="515"/>
    <x v="3"/>
    <x v="10"/>
    <x v="1"/>
    <n v="7"/>
    <n v="250"/>
    <s v="0%"/>
    <n v="1750"/>
    <n v="0"/>
  </r>
  <r>
    <n v="1532"/>
    <x v="228"/>
    <x v="516"/>
    <x v="2"/>
    <x v="11"/>
    <x v="2"/>
    <n v="4"/>
    <n v="500"/>
    <s v="10%"/>
    <n v="1800"/>
    <n v="0.1"/>
  </r>
  <r>
    <n v="1533"/>
    <x v="182"/>
    <x v="517"/>
    <x v="2"/>
    <x v="10"/>
    <x v="1"/>
    <n v="6"/>
    <n v="1500"/>
    <s v="15%"/>
    <n v="7650"/>
    <n v="0.15"/>
  </r>
  <r>
    <n v="1534"/>
    <x v="216"/>
    <x v="518"/>
    <x v="2"/>
    <x v="6"/>
    <x v="2"/>
    <n v="9"/>
    <n v="300"/>
    <s v="20%"/>
    <n v="2160"/>
    <n v="0.2"/>
  </r>
  <r>
    <n v="1535"/>
    <x v="202"/>
    <x v="519"/>
    <x v="0"/>
    <x v="13"/>
    <x v="0"/>
    <n v="5"/>
    <n v="1500"/>
    <s v="15%"/>
    <n v="6375"/>
    <n v="0.15"/>
  </r>
  <r>
    <n v="1536"/>
    <x v="227"/>
    <x v="520"/>
    <x v="0"/>
    <x v="6"/>
    <x v="2"/>
    <n v="5"/>
    <n v="1354.67"/>
    <s v="0%"/>
    <n v="6773.35"/>
    <n v="0"/>
  </r>
  <r>
    <n v="1537"/>
    <x v="181"/>
    <x v="521"/>
    <x v="3"/>
    <x v="14"/>
    <x v="2"/>
    <n v="5"/>
    <n v="100"/>
    <s v="15%"/>
    <n v="425"/>
    <n v="0.15"/>
  </r>
  <r>
    <n v="1538"/>
    <x v="89"/>
    <x v="522"/>
    <x v="0"/>
    <x v="2"/>
    <x v="1"/>
    <n v="9"/>
    <n v="2500"/>
    <s v="15%"/>
    <n v="19125"/>
    <n v="0.15"/>
  </r>
  <r>
    <n v="1539"/>
    <x v="200"/>
    <x v="523"/>
    <x v="0"/>
    <x v="6"/>
    <x v="2"/>
    <n v="5"/>
    <n v="250"/>
    <s v="15%"/>
    <n v="1062.5"/>
    <n v="0.15"/>
  </r>
  <r>
    <n v="1540"/>
    <x v="203"/>
    <x v="524"/>
    <x v="0"/>
    <x v="4"/>
    <x v="0"/>
    <n v="5"/>
    <n v="1000"/>
    <s v="15%"/>
    <n v="4250"/>
    <n v="0.15"/>
  </r>
  <r>
    <n v="1541"/>
    <x v="116"/>
    <x v="19"/>
    <x v="2"/>
    <x v="12"/>
    <x v="0"/>
    <n v="10"/>
    <n v="4500"/>
    <s v="10%"/>
    <n v="40500"/>
    <n v="0.1"/>
  </r>
  <r>
    <n v="1542"/>
    <x v="291"/>
    <x v="525"/>
    <x v="3"/>
    <x v="0"/>
    <x v="0"/>
    <n v="3"/>
    <n v="1354.67"/>
    <s v="10%"/>
    <n v="3657.6090000000004"/>
    <n v="0.1"/>
  </r>
  <r>
    <n v="1543"/>
    <x v="290"/>
    <x v="526"/>
    <x v="3"/>
    <x v="8"/>
    <x v="1"/>
    <n v="1"/>
    <n v="4500"/>
    <s v="5%"/>
    <n v="4275"/>
    <n v="0.05"/>
  </r>
  <r>
    <n v="1544"/>
    <x v="202"/>
    <x v="527"/>
    <x v="0"/>
    <x v="14"/>
    <x v="2"/>
    <n v="1"/>
    <n v="1500"/>
    <s v="0%"/>
    <n v="1500"/>
    <n v="0"/>
  </r>
  <r>
    <n v="1545"/>
    <x v="137"/>
    <x v="528"/>
    <x v="1"/>
    <x v="6"/>
    <x v="2"/>
    <n v="4"/>
    <n v="1000"/>
    <s v="15%"/>
    <n v="3400"/>
    <n v="0.15"/>
  </r>
  <r>
    <n v="1546"/>
    <x v="153"/>
    <x v="529"/>
    <x v="1"/>
    <x v="6"/>
    <x v="2"/>
    <n v="1"/>
    <n v="500"/>
    <s v="15%"/>
    <n v="425"/>
    <n v="0.15"/>
  </r>
  <r>
    <n v="1547"/>
    <x v="99"/>
    <x v="530"/>
    <x v="1"/>
    <x v="4"/>
    <x v="0"/>
    <n v="6"/>
    <n v="300"/>
    <s v="0%"/>
    <n v="1800"/>
    <n v="0"/>
  </r>
  <r>
    <n v="1548"/>
    <x v="107"/>
    <x v="531"/>
    <x v="4"/>
    <x v="8"/>
    <x v="1"/>
    <n v="2"/>
    <n v="500"/>
    <s v="15%"/>
    <n v="850"/>
    <n v="0.15"/>
  </r>
  <r>
    <n v="1549"/>
    <x v="85"/>
    <x v="532"/>
    <x v="2"/>
    <x v="6"/>
    <x v="2"/>
    <n v="1"/>
    <n v="100"/>
    <s v="20%"/>
    <n v="80"/>
    <n v="0.2"/>
  </r>
  <r>
    <n v="1550"/>
    <x v="37"/>
    <x v="533"/>
    <x v="3"/>
    <x v="8"/>
    <x v="1"/>
    <n v="8"/>
    <n v="250"/>
    <s v="20%"/>
    <n v="1600"/>
    <n v="0.2"/>
  </r>
  <r>
    <n v="1551"/>
    <x v="292"/>
    <x v="534"/>
    <x v="2"/>
    <x v="3"/>
    <x v="1"/>
    <n v="3"/>
    <n v="250"/>
    <s v="5%"/>
    <n v="712.5"/>
    <n v="0.05"/>
  </r>
  <r>
    <n v="1552"/>
    <x v="257"/>
    <x v="11"/>
    <x v="3"/>
    <x v="14"/>
    <x v="2"/>
    <n v="4"/>
    <n v="100"/>
    <s v="15%"/>
    <n v="340"/>
    <n v="0.15"/>
  </r>
  <r>
    <n v="1553"/>
    <x v="277"/>
    <x v="535"/>
    <x v="2"/>
    <x v="12"/>
    <x v="0"/>
    <n v="9"/>
    <n v="1000"/>
    <s v="20%"/>
    <n v="7200"/>
    <n v="0.2"/>
  </r>
  <r>
    <n v="1554"/>
    <x v="293"/>
    <x v="536"/>
    <x v="0"/>
    <x v="12"/>
    <x v="0"/>
    <n v="5"/>
    <n v="300"/>
    <s v="0%"/>
    <n v="1500"/>
    <n v="0"/>
  </r>
  <r>
    <n v="1555"/>
    <x v="150"/>
    <x v="537"/>
    <x v="1"/>
    <x v="5"/>
    <x v="2"/>
    <n v="9"/>
    <n v="2500"/>
    <s v="5%"/>
    <n v="21375"/>
    <n v="0.05"/>
  </r>
  <r>
    <n v="1556"/>
    <x v="294"/>
    <x v="538"/>
    <x v="2"/>
    <x v="5"/>
    <x v="2"/>
    <n v="9"/>
    <n v="2500"/>
    <s v="5%"/>
    <n v="21375"/>
    <n v="0.05"/>
  </r>
  <r>
    <n v="1557"/>
    <x v="140"/>
    <x v="539"/>
    <x v="1"/>
    <x v="11"/>
    <x v="2"/>
    <n v="2"/>
    <n v="250"/>
    <s v="20%"/>
    <n v="400"/>
    <n v="0.2"/>
  </r>
  <r>
    <n v="1558"/>
    <x v="178"/>
    <x v="540"/>
    <x v="1"/>
    <x v="8"/>
    <x v="1"/>
    <n v="2"/>
    <n v="4500"/>
    <s v="5%"/>
    <n v="8550"/>
    <n v="0.05"/>
  </r>
  <r>
    <n v="1559"/>
    <x v="295"/>
    <x v="541"/>
    <x v="3"/>
    <x v="7"/>
    <x v="2"/>
    <n v="10"/>
    <n v="1000"/>
    <s v="0%"/>
    <n v="10000"/>
    <n v="0"/>
  </r>
  <r>
    <n v="1560"/>
    <x v="42"/>
    <x v="542"/>
    <x v="3"/>
    <x v="2"/>
    <x v="1"/>
    <n v="2"/>
    <n v="4500"/>
    <s v="0%"/>
    <n v="9000"/>
    <n v="0"/>
  </r>
  <r>
    <n v="1561"/>
    <x v="149"/>
    <x v="543"/>
    <x v="1"/>
    <x v="5"/>
    <x v="2"/>
    <n v="10"/>
    <n v="1000"/>
    <s v="20%"/>
    <n v="8000"/>
    <n v="0.2"/>
  </r>
  <r>
    <n v="1562"/>
    <x v="177"/>
    <x v="544"/>
    <x v="2"/>
    <x v="9"/>
    <x v="1"/>
    <n v="2"/>
    <n v="250"/>
    <s v="5%"/>
    <n v="475"/>
    <n v="0.05"/>
  </r>
  <r>
    <n v="1563"/>
    <x v="8"/>
    <x v="545"/>
    <x v="3"/>
    <x v="1"/>
    <x v="0"/>
    <n v="9"/>
    <n v="2500"/>
    <s v="0%"/>
    <n v="22500"/>
    <n v="0"/>
  </r>
  <r>
    <n v="1564"/>
    <x v="227"/>
    <x v="546"/>
    <x v="3"/>
    <x v="8"/>
    <x v="1"/>
    <n v="3"/>
    <n v="2500"/>
    <s v="20%"/>
    <n v="6000"/>
    <n v="0.2"/>
  </r>
  <r>
    <n v="1565"/>
    <x v="194"/>
    <x v="547"/>
    <x v="2"/>
    <x v="11"/>
    <x v="2"/>
    <n v="9"/>
    <n v="1500"/>
    <s v="10%"/>
    <n v="12150"/>
    <n v="0.1"/>
  </r>
  <r>
    <n v="1566"/>
    <x v="44"/>
    <x v="548"/>
    <x v="3"/>
    <x v="1"/>
    <x v="0"/>
    <n v="10"/>
    <n v="500"/>
    <s v="15%"/>
    <n v="4250"/>
    <n v="0.15"/>
  </r>
  <r>
    <n v="1567"/>
    <x v="216"/>
    <x v="549"/>
    <x v="0"/>
    <x v="10"/>
    <x v="1"/>
    <n v="5"/>
    <n v="100"/>
    <s v="20%"/>
    <n v="400"/>
    <n v="0.2"/>
  </r>
  <r>
    <n v="1568"/>
    <x v="296"/>
    <x v="550"/>
    <x v="0"/>
    <x v="8"/>
    <x v="1"/>
    <n v="6"/>
    <n v="100"/>
    <s v="10%"/>
    <n v="540"/>
    <n v="0.1"/>
  </r>
  <r>
    <n v="1569"/>
    <x v="47"/>
    <x v="551"/>
    <x v="3"/>
    <x v="11"/>
    <x v="2"/>
    <n v="10"/>
    <n v="500"/>
    <s v="5%"/>
    <n v="4750"/>
    <n v="0.05"/>
  </r>
  <r>
    <n v="1570"/>
    <x v="297"/>
    <x v="552"/>
    <x v="2"/>
    <x v="10"/>
    <x v="1"/>
    <n v="6"/>
    <n v="4500"/>
    <s v="5%"/>
    <n v="25650"/>
    <n v="0.05"/>
  </r>
  <r>
    <n v="1571"/>
    <x v="298"/>
    <x v="553"/>
    <x v="2"/>
    <x v="9"/>
    <x v="1"/>
    <n v="5"/>
    <n v="100"/>
    <s v="20%"/>
    <n v="400"/>
    <n v="0.2"/>
  </r>
  <r>
    <n v="1572"/>
    <x v="299"/>
    <x v="554"/>
    <x v="1"/>
    <x v="14"/>
    <x v="2"/>
    <n v="7"/>
    <n v="250"/>
    <s v="5%"/>
    <n v="1662.5"/>
    <n v="0.05"/>
  </r>
  <r>
    <n v="1573"/>
    <x v="101"/>
    <x v="555"/>
    <x v="0"/>
    <x v="0"/>
    <x v="0"/>
    <n v="6"/>
    <n v="300"/>
    <s v="10%"/>
    <n v="1620"/>
    <n v="0.1"/>
  </r>
  <r>
    <n v="1574"/>
    <x v="10"/>
    <x v="556"/>
    <x v="2"/>
    <x v="7"/>
    <x v="2"/>
    <n v="10"/>
    <n v="250"/>
    <s v="5%"/>
    <n v="2375"/>
    <n v="0.05"/>
  </r>
  <r>
    <n v="1575"/>
    <x v="300"/>
    <x v="557"/>
    <x v="2"/>
    <x v="2"/>
    <x v="1"/>
    <n v="10"/>
    <n v="100"/>
    <s v="20%"/>
    <n v="800"/>
    <n v="0.2"/>
  </r>
  <r>
    <n v="1576"/>
    <x v="180"/>
    <x v="558"/>
    <x v="0"/>
    <x v="1"/>
    <x v="0"/>
    <n v="3"/>
    <n v="4500"/>
    <s v="20%"/>
    <n v="10800"/>
    <n v="0.2"/>
  </r>
  <r>
    <n v="1577"/>
    <x v="118"/>
    <x v="559"/>
    <x v="3"/>
    <x v="13"/>
    <x v="0"/>
    <n v="4"/>
    <n v="500"/>
    <s v="0%"/>
    <n v="2000"/>
    <n v="0"/>
  </r>
  <r>
    <n v="1578"/>
    <x v="178"/>
    <x v="560"/>
    <x v="3"/>
    <x v="10"/>
    <x v="1"/>
    <n v="7"/>
    <n v="2500"/>
    <s v="10%"/>
    <n v="15750"/>
    <n v="0.1"/>
  </r>
  <r>
    <n v="1579"/>
    <x v="292"/>
    <x v="561"/>
    <x v="0"/>
    <x v="6"/>
    <x v="2"/>
    <n v="6"/>
    <n v="4500"/>
    <s v="20%"/>
    <n v="21600"/>
    <n v="0.2"/>
  </r>
  <r>
    <n v="1580"/>
    <x v="301"/>
    <x v="562"/>
    <x v="1"/>
    <x v="4"/>
    <x v="0"/>
    <n v="3"/>
    <n v="250"/>
    <s v="0%"/>
    <n v="750"/>
    <n v="0"/>
  </r>
  <r>
    <n v="1581"/>
    <x v="302"/>
    <x v="563"/>
    <x v="2"/>
    <x v="5"/>
    <x v="2"/>
    <n v="6"/>
    <n v="250"/>
    <s v="10%"/>
    <n v="1350"/>
    <n v="0.1"/>
  </r>
  <r>
    <n v="1582"/>
    <x v="127"/>
    <x v="564"/>
    <x v="2"/>
    <x v="8"/>
    <x v="1"/>
    <n v="9"/>
    <n v="1000"/>
    <s v="20%"/>
    <n v="7200"/>
    <n v="0.2"/>
  </r>
  <r>
    <n v="1583"/>
    <x v="193"/>
    <x v="565"/>
    <x v="0"/>
    <x v="0"/>
    <x v="0"/>
    <n v="7"/>
    <n v="100"/>
    <s v="10%"/>
    <n v="630"/>
    <n v="0.1"/>
  </r>
  <r>
    <n v="1584"/>
    <x v="274"/>
    <x v="566"/>
    <x v="2"/>
    <x v="5"/>
    <x v="2"/>
    <n v="8"/>
    <n v="100"/>
    <s v="0%"/>
    <n v="800"/>
    <n v="0"/>
  </r>
  <r>
    <n v="1585"/>
    <x v="286"/>
    <x v="567"/>
    <x v="0"/>
    <x v="5"/>
    <x v="2"/>
    <n v="1"/>
    <n v="1000"/>
    <s v="15%"/>
    <n v="850"/>
    <n v="0.15"/>
  </r>
  <r>
    <n v="1586"/>
    <x v="58"/>
    <x v="568"/>
    <x v="0"/>
    <x v="14"/>
    <x v="2"/>
    <n v="10"/>
    <n v="250"/>
    <s v="5%"/>
    <n v="2375"/>
    <n v="0.05"/>
  </r>
  <r>
    <n v="1587"/>
    <x v="213"/>
    <x v="569"/>
    <x v="2"/>
    <x v="10"/>
    <x v="1"/>
    <n v="4"/>
    <n v="1000"/>
    <s v="10%"/>
    <n v="3600"/>
    <n v="0.1"/>
  </r>
  <r>
    <n v="1588"/>
    <x v="18"/>
    <x v="570"/>
    <x v="3"/>
    <x v="11"/>
    <x v="2"/>
    <n v="5"/>
    <n v="500"/>
    <s v="20%"/>
    <n v="2000"/>
    <n v="0.2"/>
  </r>
  <r>
    <n v="1589"/>
    <x v="297"/>
    <x v="571"/>
    <x v="3"/>
    <x v="9"/>
    <x v="1"/>
    <n v="5"/>
    <n v="500"/>
    <s v="5%"/>
    <n v="2375"/>
    <n v="0.05"/>
  </r>
  <r>
    <n v="1590"/>
    <x v="93"/>
    <x v="572"/>
    <x v="0"/>
    <x v="7"/>
    <x v="2"/>
    <n v="10"/>
    <n v="500"/>
    <s v="15%"/>
    <n v="4250"/>
    <n v="0.15"/>
  </r>
  <r>
    <n v="1591"/>
    <x v="292"/>
    <x v="573"/>
    <x v="0"/>
    <x v="4"/>
    <x v="0"/>
    <n v="8"/>
    <n v="300"/>
    <s v="5%"/>
    <n v="2280"/>
    <n v="0.05"/>
  </r>
  <r>
    <n v="1592"/>
    <x v="26"/>
    <x v="574"/>
    <x v="0"/>
    <x v="3"/>
    <x v="1"/>
    <n v="9"/>
    <n v="300"/>
    <s v="15%"/>
    <n v="2295"/>
    <n v="0.15"/>
  </r>
  <r>
    <n v="1593"/>
    <x v="303"/>
    <x v="575"/>
    <x v="3"/>
    <x v="9"/>
    <x v="1"/>
    <n v="9"/>
    <n v="250"/>
    <s v="5%"/>
    <n v="2137.5"/>
    <n v="0.05"/>
  </r>
  <r>
    <n v="1594"/>
    <x v="298"/>
    <x v="576"/>
    <x v="3"/>
    <x v="14"/>
    <x v="2"/>
    <n v="7"/>
    <n v="1000"/>
    <s v="15%"/>
    <n v="5950"/>
    <n v="0.15"/>
  </r>
  <r>
    <n v="1595"/>
    <x v="265"/>
    <x v="577"/>
    <x v="0"/>
    <x v="9"/>
    <x v="1"/>
    <n v="10"/>
    <n v="1000"/>
    <s v="20%"/>
    <n v="8000"/>
    <n v="0.2"/>
  </r>
  <r>
    <n v="1596"/>
    <x v="28"/>
    <x v="578"/>
    <x v="0"/>
    <x v="2"/>
    <x v="1"/>
    <n v="3"/>
    <n v="4500"/>
    <s v="10%"/>
    <n v="12150"/>
    <n v="0.1"/>
  </r>
  <r>
    <n v="1597"/>
    <x v="9"/>
    <x v="579"/>
    <x v="3"/>
    <x v="8"/>
    <x v="1"/>
    <n v="1"/>
    <n v="2500"/>
    <s v="0%"/>
    <n v="2500"/>
    <n v="0"/>
  </r>
  <r>
    <n v="1598"/>
    <x v="127"/>
    <x v="580"/>
    <x v="2"/>
    <x v="8"/>
    <x v="1"/>
    <n v="2"/>
    <n v="300"/>
    <s v="15%"/>
    <n v="510"/>
    <n v="0.15"/>
  </r>
  <r>
    <n v="1599"/>
    <x v="4"/>
    <x v="581"/>
    <x v="2"/>
    <x v="14"/>
    <x v="2"/>
    <n v="1"/>
    <n v="2500"/>
    <s v="10%"/>
    <n v="2250"/>
    <n v="0.1"/>
  </r>
  <r>
    <n v="1600"/>
    <x v="10"/>
    <x v="582"/>
    <x v="2"/>
    <x v="0"/>
    <x v="0"/>
    <n v="9"/>
    <n v="250"/>
    <s v="15%"/>
    <n v="1912.5"/>
    <n v="0.15"/>
  </r>
  <r>
    <n v="1601"/>
    <x v="304"/>
    <x v="583"/>
    <x v="2"/>
    <x v="13"/>
    <x v="0"/>
    <n v="7"/>
    <n v="100"/>
    <s v="20%"/>
    <n v="560"/>
    <n v="0.2"/>
  </r>
  <r>
    <n v="1602"/>
    <x v="208"/>
    <x v="584"/>
    <x v="2"/>
    <x v="14"/>
    <x v="2"/>
    <n v="7"/>
    <n v="1000"/>
    <s v="10%"/>
    <n v="6300"/>
    <n v="0.1"/>
  </r>
  <r>
    <n v="1603"/>
    <x v="264"/>
    <x v="585"/>
    <x v="1"/>
    <x v="13"/>
    <x v="0"/>
    <n v="3"/>
    <n v="4500"/>
    <s v="15%"/>
    <n v="11475"/>
    <n v="0.15"/>
  </r>
  <r>
    <n v="1604"/>
    <x v="305"/>
    <x v="586"/>
    <x v="3"/>
    <x v="13"/>
    <x v="0"/>
    <n v="3"/>
    <n v="2500"/>
    <s v="15%"/>
    <n v="6375"/>
    <n v="0.15"/>
  </r>
  <r>
    <n v="1605"/>
    <x v="275"/>
    <x v="587"/>
    <x v="3"/>
    <x v="1"/>
    <x v="0"/>
    <n v="8"/>
    <n v="250"/>
    <s v="10%"/>
    <n v="1800"/>
    <n v="0.1"/>
  </r>
  <r>
    <n v="1606"/>
    <x v="306"/>
    <x v="588"/>
    <x v="3"/>
    <x v="0"/>
    <x v="0"/>
    <n v="2"/>
    <n v="250"/>
    <s v="15%"/>
    <n v="425"/>
    <n v="0.15"/>
  </r>
  <r>
    <n v="1607"/>
    <x v="307"/>
    <x v="589"/>
    <x v="2"/>
    <x v="13"/>
    <x v="0"/>
    <n v="3"/>
    <n v="2500"/>
    <s v="20%"/>
    <n v="6000"/>
    <n v="0.2"/>
  </r>
  <r>
    <n v="1608"/>
    <x v="80"/>
    <x v="590"/>
    <x v="1"/>
    <x v="1"/>
    <x v="0"/>
    <n v="3"/>
    <n v="300"/>
    <s v="5%"/>
    <n v="855"/>
    <n v="0.05"/>
  </r>
  <r>
    <n v="1609"/>
    <x v="308"/>
    <x v="591"/>
    <x v="4"/>
    <x v="11"/>
    <x v="2"/>
    <n v="3"/>
    <n v="250"/>
    <s v="5%"/>
    <n v="712.5"/>
    <n v="0.05"/>
  </r>
  <r>
    <n v="1610"/>
    <x v="1"/>
    <x v="592"/>
    <x v="2"/>
    <x v="14"/>
    <x v="2"/>
    <n v="9"/>
    <n v="100"/>
    <s v="20%"/>
    <n v="720"/>
    <n v="0.2"/>
  </r>
  <r>
    <n v="1611"/>
    <x v="186"/>
    <x v="593"/>
    <x v="3"/>
    <x v="14"/>
    <x v="2"/>
    <n v="2"/>
    <n v="100"/>
    <s v="5%"/>
    <n v="190"/>
    <n v="0.05"/>
  </r>
  <r>
    <n v="1612"/>
    <x v="187"/>
    <x v="594"/>
    <x v="1"/>
    <x v="8"/>
    <x v="1"/>
    <n v="3"/>
    <n v="100"/>
    <s v="10%"/>
    <n v="270"/>
    <n v="0.1"/>
  </r>
  <r>
    <n v="1613"/>
    <x v="25"/>
    <x v="595"/>
    <x v="1"/>
    <x v="4"/>
    <x v="0"/>
    <n v="6"/>
    <n v="250"/>
    <s v="0%"/>
    <n v="1500"/>
    <n v="0"/>
  </r>
  <r>
    <n v="1614"/>
    <x v="105"/>
    <x v="596"/>
    <x v="3"/>
    <x v="13"/>
    <x v="0"/>
    <n v="10"/>
    <n v="300"/>
    <s v="15%"/>
    <n v="2550"/>
    <n v="0.15"/>
  </r>
  <r>
    <n v="1615"/>
    <x v="10"/>
    <x v="597"/>
    <x v="1"/>
    <x v="14"/>
    <x v="2"/>
    <n v="2"/>
    <n v="2500"/>
    <s v="20%"/>
    <n v="4000"/>
    <n v="0.2"/>
  </r>
  <r>
    <n v="1616"/>
    <x v="37"/>
    <x v="598"/>
    <x v="0"/>
    <x v="11"/>
    <x v="2"/>
    <n v="9"/>
    <n v="2500"/>
    <s v="20%"/>
    <n v="18000"/>
    <n v="0.2"/>
  </r>
  <r>
    <n v="1617"/>
    <x v="273"/>
    <x v="599"/>
    <x v="3"/>
    <x v="13"/>
    <x v="0"/>
    <n v="2"/>
    <n v="4500"/>
    <s v="20%"/>
    <n v="7200"/>
    <n v="0.2"/>
  </r>
  <r>
    <n v="1618"/>
    <x v="309"/>
    <x v="600"/>
    <x v="2"/>
    <x v="13"/>
    <x v="0"/>
    <n v="6"/>
    <n v="300"/>
    <s v="20%"/>
    <n v="1440"/>
    <n v="0.2"/>
  </r>
  <r>
    <n v="1619"/>
    <x v="11"/>
    <x v="601"/>
    <x v="1"/>
    <x v="9"/>
    <x v="1"/>
    <n v="4"/>
    <n v="1000"/>
    <s v="5%"/>
    <n v="3800"/>
    <n v="0.05"/>
  </r>
  <r>
    <n v="1620"/>
    <x v="184"/>
    <x v="602"/>
    <x v="1"/>
    <x v="1"/>
    <x v="0"/>
    <n v="10"/>
    <n v="2500"/>
    <s v="15%"/>
    <n v="21250"/>
    <n v="0.15"/>
  </r>
  <r>
    <n v="1621"/>
    <x v="310"/>
    <x v="603"/>
    <x v="3"/>
    <x v="8"/>
    <x v="1"/>
    <n v="5"/>
    <n v="1000"/>
    <s v="0%"/>
    <n v="5000"/>
    <n v="0"/>
  </r>
  <r>
    <n v="1622"/>
    <x v="311"/>
    <x v="604"/>
    <x v="1"/>
    <x v="3"/>
    <x v="1"/>
    <n v="6"/>
    <n v="2500"/>
    <s v="20%"/>
    <n v="12000"/>
    <n v="0.2"/>
  </r>
  <r>
    <n v="1623"/>
    <x v="312"/>
    <x v="605"/>
    <x v="2"/>
    <x v="12"/>
    <x v="0"/>
    <n v="8"/>
    <n v="100"/>
    <s v="5%"/>
    <n v="760"/>
    <n v="0.05"/>
  </r>
  <r>
    <n v="1624"/>
    <x v="198"/>
    <x v="606"/>
    <x v="3"/>
    <x v="14"/>
    <x v="2"/>
    <n v="7"/>
    <n v="100"/>
    <s v="20%"/>
    <n v="560"/>
    <n v="0.2"/>
  </r>
  <r>
    <n v="1625"/>
    <x v="168"/>
    <x v="607"/>
    <x v="1"/>
    <x v="8"/>
    <x v="1"/>
    <n v="10"/>
    <n v="1500"/>
    <s v="10%"/>
    <n v="13500"/>
    <n v="0.1"/>
  </r>
  <r>
    <n v="1626"/>
    <x v="23"/>
    <x v="608"/>
    <x v="1"/>
    <x v="7"/>
    <x v="2"/>
    <n v="3"/>
    <n v="2500"/>
    <s v="5%"/>
    <n v="7125"/>
    <n v="0.05"/>
  </r>
  <r>
    <n v="1627"/>
    <x v="235"/>
    <x v="609"/>
    <x v="2"/>
    <x v="5"/>
    <x v="2"/>
    <n v="5"/>
    <n v="2500"/>
    <s v="0%"/>
    <n v="12500"/>
    <n v="0"/>
  </r>
  <r>
    <n v="1628"/>
    <x v="192"/>
    <x v="610"/>
    <x v="1"/>
    <x v="6"/>
    <x v="2"/>
    <n v="9"/>
    <n v="1000"/>
    <s v="5%"/>
    <n v="8550"/>
    <n v="0.05"/>
  </r>
  <r>
    <n v="1629"/>
    <x v="266"/>
    <x v="611"/>
    <x v="0"/>
    <x v="2"/>
    <x v="1"/>
    <n v="9"/>
    <n v="100"/>
    <s v="15%"/>
    <n v="765"/>
    <n v="0.15"/>
  </r>
  <r>
    <n v="1630"/>
    <x v="95"/>
    <x v="612"/>
    <x v="0"/>
    <x v="4"/>
    <x v="0"/>
    <n v="6"/>
    <n v="300"/>
    <s v="0%"/>
    <n v="1800"/>
    <n v="0"/>
  </r>
  <r>
    <n v="1631"/>
    <x v="204"/>
    <x v="613"/>
    <x v="1"/>
    <x v="0"/>
    <x v="0"/>
    <n v="1"/>
    <n v="1000"/>
    <s v="0%"/>
    <n v="1000"/>
    <n v="0"/>
  </r>
  <r>
    <n v="1632"/>
    <x v="251"/>
    <x v="614"/>
    <x v="3"/>
    <x v="4"/>
    <x v="0"/>
    <n v="1"/>
    <n v="1000"/>
    <s v="5%"/>
    <n v="950"/>
    <n v="0.05"/>
  </r>
  <r>
    <n v="1633"/>
    <x v="177"/>
    <x v="615"/>
    <x v="3"/>
    <x v="5"/>
    <x v="2"/>
    <n v="5"/>
    <n v="300"/>
    <s v="5%"/>
    <n v="1425"/>
    <n v="0.05"/>
  </r>
  <r>
    <n v="1634"/>
    <x v="306"/>
    <x v="616"/>
    <x v="3"/>
    <x v="8"/>
    <x v="1"/>
    <n v="9"/>
    <n v="1500"/>
    <s v="20%"/>
    <n v="10800"/>
    <n v="0.2"/>
  </r>
  <r>
    <n v="1635"/>
    <x v="112"/>
    <x v="617"/>
    <x v="3"/>
    <x v="1"/>
    <x v="0"/>
    <n v="3"/>
    <n v="250"/>
    <s v="10%"/>
    <n v="675"/>
    <n v="0.1"/>
  </r>
  <r>
    <n v="1636"/>
    <x v="168"/>
    <x v="618"/>
    <x v="1"/>
    <x v="0"/>
    <x v="0"/>
    <n v="2"/>
    <n v="2500"/>
    <s v="0%"/>
    <n v="5000"/>
    <n v="0"/>
  </r>
  <r>
    <n v="1637"/>
    <x v="14"/>
    <x v="619"/>
    <x v="3"/>
    <x v="12"/>
    <x v="0"/>
    <n v="10"/>
    <n v="1500"/>
    <s v="10%"/>
    <n v="13500"/>
    <n v="0.1"/>
  </r>
  <r>
    <n v="1638"/>
    <x v="254"/>
    <x v="620"/>
    <x v="2"/>
    <x v="0"/>
    <x v="0"/>
    <n v="8"/>
    <n v="300"/>
    <s v="0%"/>
    <n v="2400"/>
    <n v="0"/>
  </r>
  <r>
    <n v="1639"/>
    <x v="313"/>
    <x v="621"/>
    <x v="3"/>
    <x v="14"/>
    <x v="2"/>
    <n v="4"/>
    <n v="500"/>
    <s v="5%"/>
    <n v="1900"/>
    <n v="0.05"/>
  </r>
  <r>
    <n v="1640"/>
    <x v="147"/>
    <x v="622"/>
    <x v="1"/>
    <x v="4"/>
    <x v="0"/>
    <n v="6"/>
    <n v="4500"/>
    <s v="15%"/>
    <n v="22950"/>
    <n v="0.15"/>
  </r>
  <r>
    <n v="1641"/>
    <x v="274"/>
    <x v="623"/>
    <x v="1"/>
    <x v="3"/>
    <x v="1"/>
    <n v="6"/>
    <n v="300"/>
    <s v="20%"/>
    <n v="1440"/>
    <n v="0.2"/>
  </r>
  <r>
    <n v="1642"/>
    <x v="265"/>
    <x v="624"/>
    <x v="2"/>
    <x v="0"/>
    <x v="0"/>
    <n v="5"/>
    <n v="4500"/>
    <s v="15%"/>
    <n v="19125"/>
    <n v="0.15"/>
  </r>
  <r>
    <n v="1643"/>
    <x v="296"/>
    <x v="625"/>
    <x v="2"/>
    <x v="14"/>
    <x v="2"/>
    <n v="2"/>
    <n v="1500"/>
    <s v="5%"/>
    <n v="2850"/>
    <n v="0.05"/>
  </r>
  <r>
    <n v="1644"/>
    <x v="215"/>
    <x v="626"/>
    <x v="2"/>
    <x v="1"/>
    <x v="0"/>
    <n v="3"/>
    <n v="250"/>
    <s v="20%"/>
    <n v="600"/>
    <n v="0.2"/>
  </r>
  <r>
    <n v="1645"/>
    <x v="301"/>
    <x v="627"/>
    <x v="1"/>
    <x v="2"/>
    <x v="1"/>
    <n v="3"/>
    <n v="1000"/>
    <s v="15%"/>
    <n v="2550"/>
    <n v="0.15"/>
  </r>
  <r>
    <n v="1646"/>
    <x v="262"/>
    <x v="628"/>
    <x v="0"/>
    <x v="11"/>
    <x v="2"/>
    <n v="8"/>
    <n v="100"/>
    <s v="0%"/>
    <n v="800"/>
    <n v="0"/>
  </r>
  <r>
    <n v="1647"/>
    <x v="24"/>
    <x v="629"/>
    <x v="3"/>
    <x v="0"/>
    <x v="0"/>
    <n v="3"/>
    <n v="300"/>
    <s v="15%"/>
    <n v="765"/>
    <n v="0.15"/>
  </r>
  <r>
    <n v="1648"/>
    <x v="300"/>
    <x v="630"/>
    <x v="3"/>
    <x v="4"/>
    <x v="0"/>
    <n v="5"/>
    <n v="1000"/>
    <s v="15%"/>
    <n v="4250"/>
    <n v="0.15"/>
  </r>
  <r>
    <n v="1649"/>
    <x v="300"/>
    <x v="631"/>
    <x v="3"/>
    <x v="12"/>
    <x v="0"/>
    <n v="3"/>
    <n v="1354.67"/>
    <s v="0%"/>
    <n v="4064.01"/>
    <n v="0"/>
  </r>
  <r>
    <n v="1650"/>
    <x v="310"/>
    <x v="632"/>
    <x v="0"/>
    <x v="4"/>
    <x v="0"/>
    <n v="2"/>
    <n v="1000"/>
    <s v="0%"/>
    <n v="2000"/>
    <n v="0"/>
  </r>
  <r>
    <n v="1651"/>
    <x v="237"/>
    <x v="633"/>
    <x v="0"/>
    <x v="12"/>
    <x v="0"/>
    <n v="7"/>
    <n v="2500"/>
    <s v="15%"/>
    <n v="14875"/>
    <n v="0.15"/>
  </r>
  <r>
    <n v="1652"/>
    <x v="257"/>
    <x v="634"/>
    <x v="0"/>
    <x v="11"/>
    <x v="2"/>
    <n v="7"/>
    <n v="300"/>
    <s v="10%"/>
    <n v="1890"/>
    <n v="0.1"/>
  </r>
  <r>
    <n v="1653"/>
    <x v="136"/>
    <x v="635"/>
    <x v="0"/>
    <x v="12"/>
    <x v="0"/>
    <n v="7"/>
    <n v="300"/>
    <s v="0%"/>
    <n v="2100"/>
    <n v="0"/>
  </r>
  <r>
    <n v="1654"/>
    <x v="314"/>
    <x v="636"/>
    <x v="2"/>
    <x v="13"/>
    <x v="0"/>
    <n v="7"/>
    <n v="300"/>
    <s v="15%"/>
    <n v="1785"/>
    <n v="0.15"/>
  </r>
  <r>
    <n v="1655"/>
    <x v="35"/>
    <x v="637"/>
    <x v="2"/>
    <x v="2"/>
    <x v="1"/>
    <n v="10"/>
    <n v="100"/>
    <s v="20%"/>
    <n v="800"/>
    <n v="0.2"/>
  </r>
  <r>
    <n v="1656"/>
    <x v="315"/>
    <x v="638"/>
    <x v="1"/>
    <x v="7"/>
    <x v="2"/>
    <n v="10"/>
    <n v="1500"/>
    <s v="0%"/>
    <n v="15000"/>
    <n v="0"/>
  </r>
  <r>
    <n v="1657"/>
    <x v="208"/>
    <x v="639"/>
    <x v="1"/>
    <x v="5"/>
    <x v="2"/>
    <n v="3"/>
    <n v="1000"/>
    <s v="15%"/>
    <n v="2550"/>
    <n v="0.15"/>
  </r>
  <r>
    <n v="1658"/>
    <x v="177"/>
    <x v="640"/>
    <x v="1"/>
    <x v="0"/>
    <x v="0"/>
    <n v="9"/>
    <n v="1000"/>
    <s v="20%"/>
    <n v="7200"/>
    <n v="0.2"/>
  </r>
  <r>
    <n v="1659"/>
    <x v="247"/>
    <x v="641"/>
    <x v="3"/>
    <x v="7"/>
    <x v="2"/>
    <n v="8"/>
    <n v="1500"/>
    <s v="15%"/>
    <n v="10200"/>
    <n v="0.15"/>
  </r>
  <r>
    <n v="1660"/>
    <x v="277"/>
    <x v="642"/>
    <x v="2"/>
    <x v="9"/>
    <x v="1"/>
    <n v="5"/>
    <n v="1000"/>
    <s v="0%"/>
    <n v="5000"/>
    <n v="0"/>
  </r>
  <r>
    <n v="1661"/>
    <x v="272"/>
    <x v="643"/>
    <x v="1"/>
    <x v="7"/>
    <x v="2"/>
    <n v="1"/>
    <n v="1000"/>
    <s v="15%"/>
    <n v="850"/>
    <n v="0.15"/>
  </r>
  <r>
    <n v="1662"/>
    <x v="163"/>
    <x v="644"/>
    <x v="4"/>
    <x v="6"/>
    <x v="2"/>
    <n v="10"/>
    <n v="1000"/>
    <s v="10%"/>
    <n v="9000"/>
    <n v="0.1"/>
  </r>
  <r>
    <n v="1663"/>
    <x v="263"/>
    <x v="645"/>
    <x v="3"/>
    <x v="1"/>
    <x v="0"/>
    <n v="8"/>
    <n v="1500"/>
    <s v="5%"/>
    <n v="11400"/>
    <n v="0.05"/>
  </r>
  <r>
    <n v="1664"/>
    <x v="221"/>
    <x v="646"/>
    <x v="0"/>
    <x v="0"/>
    <x v="0"/>
    <n v="6"/>
    <n v="250"/>
    <s v="5%"/>
    <n v="1425"/>
    <n v="0.05"/>
  </r>
  <r>
    <n v="1665"/>
    <x v="293"/>
    <x v="647"/>
    <x v="3"/>
    <x v="6"/>
    <x v="2"/>
    <n v="8"/>
    <n v="300"/>
    <s v="5%"/>
    <n v="2280"/>
    <n v="0.05"/>
  </r>
  <r>
    <n v="1666"/>
    <x v="316"/>
    <x v="648"/>
    <x v="3"/>
    <x v="8"/>
    <x v="1"/>
    <n v="8"/>
    <n v="2500"/>
    <s v="15%"/>
    <n v="17000"/>
    <n v="0.15"/>
  </r>
  <r>
    <n v="1667"/>
    <x v="172"/>
    <x v="649"/>
    <x v="0"/>
    <x v="2"/>
    <x v="1"/>
    <n v="7"/>
    <n v="4500"/>
    <s v="10%"/>
    <n v="28350"/>
    <n v="0.1"/>
  </r>
  <r>
    <n v="1668"/>
    <x v="0"/>
    <x v="650"/>
    <x v="3"/>
    <x v="14"/>
    <x v="2"/>
    <n v="6"/>
    <n v="100"/>
    <s v="0%"/>
    <n v="600"/>
    <n v="0"/>
  </r>
  <r>
    <n v="1669"/>
    <x v="222"/>
    <x v="651"/>
    <x v="3"/>
    <x v="11"/>
    <x v="2"/>
    <n v="5"/>
    <n v="1000"/>
    <s v="0%"/>
    <n v="5000"/>
    <n v="0"/>
  </r>
  <r>
    <n v="1670"/>
    <x v="251"/>
    <x v="652"/>
    <x v="3"/>
    <x v="1"/>
    <x v="0"/>
    <n v="10"/>
    <n v="500"/>
    <s v="20%"/>
    <n v="4000"/>
    <n v="0.2"/>
  </r>
  <r>
    <n v="1671"/>
    <x v="317"/>
    <x v="653"/>
    <x v="1"/>
    <x v="10"/>
    <x v="1"/>
    <n v="2"/>
    <n v="100"/>
    <s v="15%"/>
    <n v="170"/>
    <n v="0.15"/>
  </r>
  <r>
    <n v="1672"/>
    <x v="95"/>
    <x v="654"/>
    <x v="1"/>
    <x v="4"/>
    <x v="0"/>
    <n v="5"/>
    <n v="500"/>
    <s v="0%"/>
    <n v="2500"/>
    <n v="0"/>
  </r>
  <r>
    <n v="1673"/>
    <x v="198"/>
    <x v="655"/>
    <x v="0"/>
    <x v="9"/>
    <x v="1"/>
    <n v="2"/>
    <n v="250"/>
    <s v="0%"/>
    <n v="500"/>
    <n v="0"/>
  </r>
  <r>
    <n v="1674"/>
    <x v="60"/>
    <x v="656"/>
    <x v="2"/>
    <x v="10"/>
    <x v="1"/>
    <n v="3"/>
    <n v="1000"/>
    <s v="10%"/>
    <n v="2700"/>
    <n v="0.1"/>
  </r>
  <r>
    <n v="1675"/>
    <x v="230"/>
    <x v="657"/>
    <x v="1"/>
    <x v="14"/>
    <x v="2"/>
    <n v="6"/>
    <n v="1000"/>
    <s v="5%"/>
    <n v="5700"/>
    <n v="0.05"/>
  </r>
  <r>
    <n v="1676"/>
    <x v="306"/>
    <x v="658"/>
    <x v="1"/>
    <x v="3"/>
    <x v="1"/>
    <n v="5"/>
    <n v="300"/>
    <s v="15%"/>
    <n v="1275"/>
    <n v="0.15"/>
  </r>
  <r>
    <n v="1677"/>
    <x v="318"/>
    <x v="659"/>
    <x v="2"/>
    <x v="2"/>
    <x v="1"/>
    <n v="2"/>
    <n v="300"/>
    <s v="20%"/>
    <n v="480"/>
    <n v="0.2"/>
  </r>
  <r>
    <n v="1678"/>
    <x v="279"/>
    <x v="660"/>
    <x v="1"/>
    <x v="4"/>
    <x v="0"/>
    <n v="2"/>
    <n v="100"/>
    <s v="0%"/>
    <n v="200"/>
    <n v="0"/>
  </r>
  <r>
    <n v="1679"/>
    <x v="34"/>
    <x v="661"/>
    <x v="3"/>
    <x v="6"/>
    <x v="2"/>
    <n v="1"/>
    <n v="100"/>
    <s v="15%"/>
    <n v="85"/>
    <n v="0.15"/>
  </r>
  <r>
    <n v="1680"/>
    <x v="113"/>
    <x v="662"/>
    <x v="2"/>
    <x v="9"/>
    <x v="1"/>
    <n v="8"/>
    <n v="4500"/>
    <s v="15%"/>
    <n v="30600"/>
    <n v="0.15"/>
  </r>
  <r>
    <n v="1681"/>
    <x v="97"/>
    <x v="663"/>
    <x v="1"/>
    <x v="1"/>
    <x v="0"/>
    <n v="1"/>
    <n v="2500"/>
    <s v="15%"/>
    <n v="2125"/>
    <n v="0.15"/>
  </r>
  <r>
    <n v="1682"/>
    <x v="266"/>
    <x v="664"/>
    <x v="3"/>
    <x v="4"/>
    <x v="0"/>
    <n v="7"/>
    <n v="100"/>
    <s v="0%"/>
    <n v="700"/>
    <n v="0"/>
  </r>
  <r>
    <n v="1683"/>
    <x v="243"/>
    <x v="665"/>
    <x v="1"/>
    <x v="11"/>
    <x v="2"/>
    <n v="4"/>
    <n v="300"/>
    <s v="20%"/>
    <n v="960"/>
    <n v="0.2"/>
  </r>
  <r>
    <n v="1684"/>
    <x v="39"/>
    <x v="666"/>
    <x v="2"/>
    <x v="5"/>
    <x v="2"/>
    <n v="6"/>
    <n v="4500"/>
    <s v="0%"/>
    <n v="27000"/>
    <n v="0"/>
  </r>
  <r>
    <n v="1685"/>
    <x v="319"/>
    <x v="667"/>
    <x v="1"/>
    <x v="13"/>
    <x v="0"/>
    <n v="4"/>
    <n v="4500"/>
    <s v="15%"/>
    <n v="15300"/>
    <n v="0.15"/>
  </r>
  <r>
    <n v="1686"/>
    <x v="170"/>
    <x v="668"/>
    <x v="3"/>
    <x v="5"/>
    <x v="2"/>
    <n v="1"/>
    <n v="1500"/>
    <s v="0%"/>
    <n v="1500"/>
    <n v="0"/>
  </r>
  <r>
    <n v="1687"/>
    <x v="50"/>
    <x v="669"/>
    <x v="0"/>
    <x v="13"/>
    <x v="0"/>
    <n v="8"/>
    <n v="300"/>
    <s v="20%"/>
    <n v="1920"/>
    <n v="0.2"/>
  </r>
  <r>
    <n v="1688"/>
    <x v="243"/>
    <x v="670"/>
    <x v="4"/>
    <x v="0"/>
    <x v="0"/>
    <n v="8"/>
    <n v="100"/>
    <s v="5%"/>
    <n v="760"/>
    <n v="0.05"/>
  </r>
  <r>
    <n v="1689"/>
    <x v="255"/>
    <x v="671"/>
    <x v="1"/>
    <x v="2"/>
    <x v="1"/>
    <n v="10"/>
    <n v="300"/>
    <s v="20%"/>
    <n v="2400"/>
    <n v="0.2"/>
  </r>
  <r>
    <n v="1690"/>
    <x v="235"/>
    <x v="672"/>
    <x v="3"/>
    <x v="1"/>
    <x v="0"/>
    <n v="2"/>
    <n v="500"/>
    <s v="15%"/>
    <n v="850"/>
    <n v="0.15"/>
  </r>
  <r>
    <n v="1691"/>
    <x v="19"/>
    <x v="673"/>
    <x v="0"/>
    <x v="5"/>
    <x v="2"/>
    <n v="10"/>
    <n v="300"/>
    <s v="10%"/>
    <n v="2700"/>
    <n v="0.1"/>
  </r>
  <r>
    <n v="1692"/>
    <x v="90"/>
    <x v="674"/>
    <x v="3"/>
    <x v="3"/>
    <x v="1"/>
    <n v="3"/>
    <n v="2500"/>
    <s v="5%"/>
    <n v="7125"/>
    <n v="0.05"/>
  </r>
  <r>
    <n v="1693"/>
    <x v="228"/>
    <x v="675"/>
    <x v="1"/>
    <x v="8"/>
    <x v="1"/>
    <n v="2"/>
    <n v="1354.67"/>
    <s v="5%"/>
    <n v="2573.873"/>
    <n v="0.05"/>
  </r>
  <r>
    <n v="1694"/>
    <x v="239"/>
    <x v="676"/>
    <x v="0"/>
    <x v="9"/>
    <x v="1"/>
    <n v="5"/>
    <n v="2500"/>
    <s v="15%"/>
    <n v="10625"/>
    <n v="0.15"/>
  </r>
  <r>
    <n v="1695"/>
    <x v="48"/>
    <x v="677"/>
    <x v="0"/>
    <x v="6"/>
    <x v="2"/>
    <n v="3"/>
    <n v="100"/>
    <s v="20%"/>
    <n v="240"/>
    <n v="0.2"/>
  </r>
  <r>
    <n v="1696"/>
    <x v="121"/>
    <x v="678"/>
    <x v="0"/>
    <x v="11"/>
    <x v="2"/>
    <n v="7"/>
    <n v="100"/>
    <s v="20%"/>
    <n v="560"/>
    <n v="0.2"/>
  </r>
  <r>
    <n v="1697"/>
    <x v="131"/>
    <x v="679"/>
    <x v="0"/>
    <x v="4"/>
    <x v="0"/>
    <n v="9"/>
    <n v="500"/>
    <s v="15%"/>
    <n v="3825"/>
    <n v="0.15"/>
  </r>
  <r>
    <n v="1698"/>
    <x v="155"/>
    <x v="680"/>
    <x v="1"/>
    <x v="12"/>
    <x v="0"/>
    <n v="8"/>
    <n v="300"/>
    <s v="5%"/>
    <n v="2280"/>
    <n v="0.05"/>
  </r>
  <r>
    <n v="1699"/>
    <x v="290"/>
    <x v="681"/>
    <x v="1"/>
    <x v="11"/>
    <x v="2"/>
    <n v="10"/>
    <n v="4500"/>
    <s v="0%"/>
    <n v="45000"/>
    <n v="0"/>
  </r>
  <r>
    <n v="1700"/>
    <x v="53"/>
    <x v="682"/>
    <x v="0"/>
    <x v="2"/>
    <x v="1"/>
    <n v="9"/>
    <n v="250"/>
    <s v="0%"/>
    <n v="2250"/>
    <n v="0"/>
  </r>
  <r>
    <n v="1701"/>
    <x v="205"/>
    <x v="683"/>
    <x v="0"/>
    <x v="3"/>
    <x v="1"/>
    <n v="4"/>
    <n v="250"/>
    <s v="10%"/>
    <n v="900"/>
    <n v="0.1"/>
  </r>
  <r>
    <n v="1702"/>
    <x v="55"/>
    <x v="75"/>
    <x v="2"/>
    <x v="6"/>
    <x v="2"/>
    <n v="2"/>
    <n v="4500"/>
    <s v="20%"/>
    <n v="7200"/>
    <n v="0.2"/>
  </r>
  <r>
    <n v="1703"/>
    <x v="9"/>
    <x v="684"/>
    <x v="0"/>
    <x v="12"/>
    <x v="0"/>
    <n v="3"/>
    <n v="2500"/>
    <s v="10%"/>
    <n v="6750"/>
    <n v="0.1"/>
  </r>
  <r>
    <n v="1704"/>
    <x v="269"/>
    <x v="685"/>
    <x v="1"/>
    <x v="6"/>
    <x v="2"/>
    <n v="6"/>
    <n v="300"/>
    <s v="0%"/>
    <n v="1800"/>
    <n v="0"/>
  </r>
  <r>
    <n v="1705"/>
    <x v="320"/>
    <x v="686"/>
    <x v="0"/>
    <x v="6"/>
    <x v="2"/>
    <n v="6"/>
    <n v="500"/>
    <s v="10%"/>
    <n v="2700"/>
    <n v="0.1"/>
  </r>
  <r>
    <n v="1706"/>
    <x v="73"/>
    <x v="687"/>
    <x v="2"/>
    <x v="9"/>
    <x v="1"/>
    <n v="9"/>
    <n v="500"/>
    <s v="0%"/>
    <n v="4500"/>
    <n v="0"/>
  </r>
  <r>
    <n v="1707"/>
    <x v="127"/>
    <x v="688"/>
    <x v="2"/>
    <x v="12"/>
    <x v="0"/>
    <n v="8"/>
    <n v="1000"/>
    <s v="0%"/>
    <n v="8000"/>
    <n v="0"/>
  </r>
  <r>
    <n v="1708"/>
    <x v="153"/>
    <x v="689"/>
    <x v="1"/>
    <x v="1"/>
    <x v="0"/>
    <n v="10"/>
    <n v="300"/>
    <s v="20%"/>
    <n v="2400"/>
    <n v="0.2"/>
  </r>
  <r>
    <n v="1709"/>
    <x v="182"/>
    <x v="690"/>
    <x v="2"/>
    <x v="13"/>
    <x v="0"/>
    <n v="1"/>
    <n v="2500"/>
    <s v="20%"/>
    <n v="2000"/>
    <n v="0.2"/>
  </r>
  <r>
    <n v="1710"/>
    <x v="255"/>
    <x v="691"/>
    <x v="1"/>
    <x v="14"/>
    <x v="2"/>
    <n v="4"/>
    <n v="250"/>
    <s v="20%"/>
    <n v="800"/>
    <n v="0.2"/>
  </r>
  <r>
    <n v="1711"/>
    <x v="321"/>
    <x v="692"/>
    <x v="2"/>
    <x v="11"/>
    <x v="2"/>
    <n v="4"/>
    <n v="250"/>
    <s v="0%"/>
    <n v="1000"/>
    <n v="0"/>
  </r>
  <r>
    <n v="1712"/>
    <x v="72"/>
    <x v="693"/>
    <x v="0"/>
    <x v="13"/>
    <x v="0"/>
    <n v="1"/>
    <n v="4500"/>
    <s v="15%"/>
    <n v="3825"/>
    <n v="0.15"/>
  </r>
  <r>
    <n v="1713"/>
    <x v="145"/>
    <x v="694"/>
    <x v="3"/>
    <x v="14"/>
    <x v="2"/>
    <n v="1"/>
    <n v="250"/>
    <s v="15%"/>
    <n v="212.5"/>
    <n v="0.15"/>
  </r>
  <r>
    <n v="1714"/>
    <x v="3"/>
    <x v="7"/>
    <x v="3"/>
    <x v="13"/>
    <x v="0"/>
    <n v="9"/>
    <n v="500"/>
    <s v="0%"/>
    <n v="4500"/>
    <n v="0"/>
  </r>
  <r>
    <n v="1715"/>
    <x v="320"/>
    <x v="695"/>
    <x v="3"/>
    <x v="4"/>
    <x v="0"/>
    <n v="1"/>
    <n v="250"/>
    <s v="15%"/>
    <n v="212.5"/>
    <n v="0.15"/>
  </r>
  <r>
    <n v="1716"/>
    <x v="27"/>
    <x v="696"/>
    <x v="3"/>
    <x v="13"/>
    <x v="0"/>
    <n v="2"/>
    <n v="500"/>
    <s v="5%"/>
    <n v="950"/>
    <n v="0.05"/>
  </r>
  <r>
    <n v="1717"/>
    <x v="41"/>
    <x v="697"/>
    <x v="3"/>
    <x v="1"/>
    <x v="0"/>
    <n v="4"/>
    <n v="1500"/>
    <s v="10%"/>
    <n v="5400"/>
    <n v="0.1"/>
  </r>
  <r>
    <n v="1718"/>
    <x v="287"/>
    <x v="698"/>
    <x v="1"/>
    <x v="11"/>
    <x v="2"/>
    <n v="8"/>
    <n v="4500"/>
    <s v="20%"/>
    <n v="28800"/>
    <n v="0.2"/>
  </r>
  <r>
    <n v="1719"/>
    <x v="189"/>
    <x v="699"/>
    <x v="0"/>
    <x v="14"/>
    <x v="2"/>
    <n v="10"/>
    <n v="1500"/>
    <s v="0%"/>
    <n v="15000"/>
    <n v="0"/>
  </r>
  <r>
    <n v="1720"/>
    <x v="293"/>
    <x v="700"/>
    <x v="3"/>
    <x v="3"/>
    <x v="1"/>
    <n v="2"/>
    <n v="250"/>
    <s v="5%"/>
    <n v="475"/>
    <n v="0.05"/>
  </r>
  <r>
    <n v="1721"/>
    <x v="36"/>
    <x v="701"/>
    <x v="0"/>
    <x v="9"/>
    <x v="1"/>
    <n v="1"/>
    <n v="1000"/>
    <s v="15%"/>
    <n v="850"/>
    <n v="0.15"/>
  </r>
  <r>
    <n v="1722"/>
    <x v="226"/>
    <x v="702"/>
    <x v="0"/>
    <x v="3"/>
    <x v="1"/>
    <n v="4"/>
    <n v="250"/>
    <s v="0%"/>
    <n v="1000"/>
    <n v="0"/>
  </r>
  <r>
    <n v="1723"/>
    <x v="282"/>
    <x v="703"/>
    <x v="2"/>
    <x v="4"/>
    <x v="0"/>
    <n v="6"/>
    <n v="4500"/>
    <s v="20%"/>
    <n v="21600"/>
    <n v="0.2"/>
  </r>
  <r>
    <n v="1724"/>
    <x v="2"/>
    <x v="704"/>
    <x v="3"/>
    <x v="6"/>
    <x v="2"/>
    <n v="5"/>
    <n v="500"/>
    <s v="15%"/>
    <n v="2125"/>
    <n v="0.15"/>
  </r>
  <r>
    <n v="1725"/>
    <x v="322"/>
    <x v="705"/>
    <x v="0"/>
    <x v="11"/>
    <x v="2"/>
    <n v="8"/>
    <n v="300"/>
    <s v="20%"/>
    <n v="1920"/>
    <n v="0.2"/>
  </r>
  <r>
    <n v="1726"/>
    <x v="1"/>
    <x v="706"/>
    <x v="1"/>
    <x v="1"/>
    <x v="0"/>
    <n v="3"/>
    <n v="500"/>
    <s v="0%"/>
    <n v="1500"/>
    <n v="0"/>
  </r>
  <r>
    <n v="1727"/>
    <x v="210"/>
    <x v="707"/>
    <x v="3"/>
    <x v="6"/>
    <x v="2"/>
    <n v="4"/>
    <n v="100"/>
    <s v="10%"/>
    <n v="360"/>
    <n v="0.1"/>
  </r>
  <r>
    <n v="1728"/>
    <x v="136"/>
    <x v="708"/>
    <x v="2"/>
    <x v="4"/>
    <x v="0"/>
    <n v="2"/>
    <n v="100"/>
    <s v="15%"/>
    <n v="170"/>
    <n v="0.15"/>
  </r>
  <r>
    <n v="1729"/>
    <x v="71"/>
    <x v="709"/>
    <x v="2"/>
    <x v="10"/>
    <x v="1"/>
    <n v="9"/>
    <n v="1500"/>
    <s v="10%"/>
    <n v="12150"/>
    <n v="0.1"/>
  </r>
  <r>
    <n v="1730"/>
    <x v="191"/>
    <x v="710"/>
    <x v="1"/>
    <x v="1"/>
    <x v="0"/>
    <n v="10"/>
    <n v="4500"/>
    <s v="10%"/>
    <n v="40500"/>
    <n v="0.1"/>
  </r>
  <r>
    <n v="1731"/>
    <x v="323"/>
    <x v="711"/>
    <x v="0"/>
    <x v="0"/>
    <x v="0"/>
    <n v="5"/>
    <n v="100"/>
    <s v="15%"/>
    <n v="425"/>
    <n v="0.15"/>
  </r>
  <r>
    <n v="1732"/>
    <x v="26"/>
    <x v="712"/>
    <x v="4"/>
    <x v="1"/>
    <x v="0"/>
    <n v="10"/>
    <n v="500"/>
    <s v="10%"/>
    <n v="4500"/>
    <n v="0.1"/>
  </r>
  <r>
    <n v="1733"/>
    <x v="306"/>
    <x v="713"/>
    <x v="2"/>
    <x v="0"/>
    <x v="0"/>
    <n v="9"/>
    <n v="2500"/>
    <s v="5%"/>
    <n v="21375"/>
    <n v="0.05"/>
  </r>
  <r>
    <n v="1734"/>
    <x v="14"/>
    <x v="19"/>
    <x v="3"/>
    <x v="4"/>
    <x v="0"/>
    <n v="7"/>
    <n v="300"/>
    <s v="15%"/>
    <n v="1785"/>
    <n v="0.15"/>
  </r>
  <r>
    <n v="1735"/>
    <x v="324"/>
    <x v="714"/>
    <x v="2"/>
    <x v="14"/>
    <x v="2"/>
    <n v="9"/>
    <n v="250"/>
    <s v="5%"/>
    <n v="2137.5"/>
    <n v="0.05"/>
  </r>
  <r>
    <n v="1736"/>
    <x v="45"/>
    <x v="715"/>
    <x v="1"/>
    <x v="2"/>
    <x v="1"/>
    <n v="7"/>
    <n v="300"/>
    <s v="20%"/>
    <n v="1680"/>
    <n v="0.2"/>
  </r>
  <r>
    <n v="1737"/>
    <x v="325"/>
    <x v="716"/>
    <x v="1"/>
    <x v="4"/>
    <x v="0"/>
    <n v="2"/>
    <n v="2500"/>
    <s v="0%"/>
    <n v="5000"/>
    <n v="0"/>
  </r>
  <r>
    <n v="1738"/>
    <x v="56"/>
    <x v="717"/>
    <x v="0"/>
    <x v="12"/>
    <x v="0"/>
    <n v="10"/>
    <n v="300"/>
    <s v="5%"/>
    <n v="2850"/>
    <n v="0.05"/>
  </r>
  <r>
    <n v="1739"/>
    <x v="94"/>
    <x v="718"/>
    <x v="2"/>
    <x v="7"/>
    <x v="2"/>
    <n v="5"/>
    <n v="4500"/>
    <s v="20%"/>
    <n v="18000"/>
    <n v="0.2"/>
  </r>
  <r>
    <n v="1740"/>
    <x v="282"/>
    <x v="719"/>
    <x v="0"/>
    <x v="14"/>
    <x v="2"/>
    <n v="2"/>
    <n v="1000"/>
    <s v="15%"/>
    <n v="1700"/>
    <n v="0.15"/>
  </r>
  <r>
    <n v="1741"/>
    <x v="326"/>
    <x v="720"/>
    <x v="3"/>
    <x v="3"/>
    <x v="1"/>
    <n v="8"/>
    <n v="250"/>
    <s v="20%"/>
    <n v="1600"/>
    <n v="0.2"/>
  </r>
  <r>
    <n v="1742"/>
    <x v="116"/>
    <x v="721"/>
    <x v="1"/>
    <x v="12"/>
    <x v="0"/>
    <n v="2"/>
    <n v="1500"/>
    <s v="20%"/>
    <n v="2400"/>
    <n v="0.2"/>
  </r>
  <r>
    <n v="1743"/>
    <x v="211"/>
    <x v="722"/>
    <x v="1"/>
    <x v="14"/>
    <x v="2"/>
    <n v="3"/>
    <n v="1500"/>
    <s v="5%"/>
    <n v="4275"/>
    <n v="0.05"/>
  </r>
  <r>
    <n v="1744"/>
    <x v="299"/>
    <x v="723"/>
    <x v="1"/>
    <x v="5"/>
    <x v="2"/>
    <n v="5"/>
    <n v="1000"/>
    <s v="20%"/>
    <n v="4000"/>
    <n v="0.2"/>
  </r>
  <r>
    <n v="1745"/>
    <x v="327"/>
    <x v="724"/>
    <x v="3"/>
    <x v="9"/>
    <x v="1"/>
    <n v="3"/>
    <n v="1500"/>
    <s v="10%"/>
    <n v="4050"/>
    <n v="0.1"/>
  </r>
  <r>
    <n v="1746"/>
    <x v="23"/>
    <x v="725"/>
    <x v="0"/>
    <x v="13"/>
    <x v="0"/>
    <n v="6"/>
    <n v="300"/>
    <s v="0%"/>
    <n v="1800"/>
    <n v="0"/>
  </r>
  <r>
    <n v="1747"/>
    <x v="224"/>
    <x v="726"/>
    <x v="0"/>
    <x v="6"/>
    <x v="2"/>
    <n v="2"/>
    <n v="500"/>
    <s v="5%"/>
    <n v="950"/>
    <n v="0.05"/>
  </r>
  <r>
    <n v="1748"/>
    <x v="246"/>
    <x v="727"/>
    <x v="2"/>
    <x v="13"/>
    <x v="0"/>
    <n v="9"/>
    <n v="250"/>
    <s v="15%"/>
    <n v="1912.5"/>
    <n v="0.15"/>
  </r>
  <r>
    <n v="1749"/>
    <x v="288"/>
    <x v="728"/>
    <x v="0"/>
    <x v="2"/>
    <x v="1"/>
    <n v="6"/>
    <n v="1000"/>
    <s v="10%"/>
    <n v="5400"/>
    <n v="0.1"/>
  </r>
  <r>
    <n v="1750"/>
    <x v="221"/>
    <x v="729"/>
    <x v="0"/>
    <x v="6"/>
    <x v="2"/>
    <n v="5"/>
    <n v="100"/>
    <s v="0%"/>
    <n v="500"/>
    <n v="0"/>
  </r>
  <r>
    <n v="1751"/>
    <x v="46"/>
    <x v="730"/>
    <x v="2"/>
    <x v="6"/>
    <x v="2"/>
    <n v="4"/>
    <n v="300"/>
    <s v="0%"/>
    <n v="1200"/>
    <n v="0"/>
  </r>
  <r>
    <n v="1752"/>
    <x v="141"/>
    <x v="731"/>
    <x v="1"/>
    <x v="14"/>
    <x v="2"/>
    <n v="1"/>
    <n v="500"/>
    <s v="0%"/>
    <n v="500"/>
    <n v="0"/>
  </r>
  <r>
    <n v="1753"/>
    <x v="228"/>
    <x v="732"/>
    <x v="1"/>
    <x v="3"/>
    <x v="1"/>
    <n v="1"/>
    <n v="250"/>
    <s v="10%"/>
    <n v="225"/>
    <n v="0.1"/>
  </r>
  <r>
    <n v="1754"/>
    <x v="55"/>
    <x v="733"/>
    <x v="1"/>
    <x v="9"/>
    <x v="1"/>
    <n v="4"/>
    <n v="300"/>
    <s v="10%"/>
    <n v="1080"/>
    <n v="0.1"/>
  </r>
  <r>
    <n v="1755"/>
    <x v="171"/>
    <x v="734"/>
    <x v="0"/>
    <x v="4"/>
    <x v="0"/>
    <n v="6"/>
    <n v="300"/>
    <s v="20%"/>
    <n v="1440"/>
    <n v="0.2"/>
  </r>
  <r>
    <n v="1756"/>
    <x v="148"/>
    <x v="735"/>
    <x v="0"/>
    <x v="9"/>
    <x v="1"/>
    <n v="4"/>
    <n v="500"/>
    <s v="10%"/>
    <n v="1800"/>
    <n v="0.1"/>
  </r>
  <r>
    <n v="1757"/>
    <x v="96"/>
    <x v="736"/>
    <x v="0"/>
    <x v="8"/>
    <x v="1"/>
    <n v="9"/>
    <n v="4500"/>
    <s v="10%"/>
    <n v="36450"/>
    <n v="0.1"/>
  </r>
  <r>
    <n v="1758"/>
    <x v="236"/>
    <x v="737"/>
    <x v="0"/>
    <x v="14"/>
    <x v="2"/>
    <n v="7"/>
    <n v="500"/>
    <s v="20%"/>
    <n v="2800"/>
    <n v="0.2"/>
  </r>
  <r>
    <n v="1759"/>
    <x v="41"/>
    <x v="738"/>
    <x v="3"/>
    <x v="5"/>
    <x v="2"/>
    <n v="9"/>
    <n v="300"/>
    <s v="15%"/>
    <n v="2295"/>
    <n v="0.15"/>
  </r>
  <r>
    <n v="1760"/>
    <x v="19"/>
    <x v="739"/>
    <x v="2"/>
    <x v="14"/>
    <x v="2"/>
    <n v="2"/>
    <n v="2500"/>
    <s v="10%"/>
    <n v="4500"/>
    <n v="0.1"/>
  </r>
  <r>
    <n v="1761"/>
    <x v="205"/>
    <x v="740"/>
    <x v="2"/>
    <x v="6"/>
    <x v="2"/>
    <n v="9"/>
    <n v="2500"/>
    <s v="10%"/>
    <n v="20250"/>
    <n v="0.1"/>
  </r>
  <r>
    <n v="1762"/>
    <x v="201"/>
    <x v="741"/>
    <x v="1"/>
    <x v="11"/>
    <x v="2"/>
    <n v="3"/>
    <n v="100"/>
    <s v="15%"/>
    <n v="255"/>
    <n v="0.15"/>
  </r>
  <r>
    <n v="1763"/>
    <x v="147"/>
    <x v="742"/>
    <x v="1"/>
    <x v="8"/>
    <x v="1"/>
    <n v="7"/>
    <n v="2500"/>
    <s v="20%"/>
    <n v="14000"/>
    <n v="0.2"/>
  </r>
  <r>
    <n v="1764"/>
    <x v="122"/>
    <x v="743"/>
    <x v="2"/>
    <x v="6"/>
    <x v="2"/>
    <n v="6"/>
    <n v="500"/>
    <s v="20%"/>
    <n v="2400"/>
    <n v="0.2"/>
  </r>
  <r>
    <n v="1765"/>
    <x v="243"/>
    <x v="744"/>
    <x v="3"/>
    <x v="7"/>
    <x v="2"/>
    <n v="10"/>
    <n v="1000"/>
    <s v="15%"/>
    <n v="8500"/>
    <n v="0.15"/>
  </r>
  <r>
    <n v="1766"/>
    <x v="273"/>
    <x v="745"/>
    <x v="1"/>
    <x v="7"/>
    <x v="2"/>
    <n v="5"/>
    <n v="300"/>
    <s v="15%"/>
    <n v="1275"/>
    <n v="0.15"/>
  </r>
  <r>
    <n v="1767"/>
    <x v="275"/>
    <x v="746"/>
    <x v="2"/>
    <x v="10"/>
    <x v="1"/>
    <n v="2"/>
    <n v="100"/>
    <s v="0%"/>
    <n v="200"/>
    <n v="0"/>
  </r>
  <r>
    <n v="1768"/>
    <x v="106"/>
    <x v="747"/>
    <x v="1"/>
    <x v="4"/>
    <x v="0"/>
    <n v="3"/>
    <n v="1000"/>
    <s v="20%"/>
    <n v="2400"/>
    <n v="0.2"/>
  </r>
  <r>
    <n v="1769"/>
    <x v="313"/>
    <x v="748"/>
    <x v="2"/>
    <x v="14"/>
    <x v="2"/>
    <n v="4"/>
    <n v="1000"/>
    <s v="15%"/>
    <n v="3400"/>
    <n v="0.15"/>
  </r>
  <r>
    <n v="1770"/>
    <x v="119"/>
    <x v="749"/>
    <x v="1"/>
    <x v="13"/>
    <x v="0"/>
    <n v="1"/>
    <n v="100"/>
    <s v="15%"/>
    <n v="85"/>
    <n v="0.15"/>
  </r>
  <r>
    <n v="1771"/>
    <x v="53"/>
    <x v="750"/>
    <x v="3"/>
    <x v="5"/>
    <x v="2"/>
    <n v="1"/>
    <n v="300"/>
    <s v="20%"/>
    <n v="240"/>
    <n v="0.2"/>
  </r>
  <r>
    <n v="1772"/>
    <x v="178"/>
    <x v="751"/>
    <x v="2"/>
    <x v="14"/>
    <x v="2"/>
    <n v="8"/>
    <n v="250"/>
    <s v="20%"/>
    <n v="1600"/>
    <n v="0.2"/>
  </r>
  <r>
    <n v="1773"/>
    <x v="304"/>
    <x v="752"/>
    <x v="3"/>
    <x v="7"/>
    <x v="2"/>
    <n v="3"/>
    <n v="100"/>
    <s v="15%"/>
    <n v="255"/>
    <n v="0.15"/>
  </r>
  <r>
    <n v="1774"/>
    <x v="21"/>
    <x v="753"/>
    <x v="1"/>
    <x v="11"/>
    <x v="2"/>
    <n v="6"/>
    <n v="100"/>
    <s v="0%"/>
    <n v="600"/>
    <n v="0"/>
  </r>
  <r>
    <n v="1775"/>
    <x v="73"/>
    <x v="754"/>
    <x v="2"/>
    <x v="0"/>
    <x v="0"/>
    <n v="6"/>
    <n v="2500"/>
    <s v="0%"/>
    <n v="15000"/>
    <n v="0"/>
  </r>
  <r>
    <n v="1776"/>
    <x v="328"/>
    <x v="755"/>
    <x v="1"/>
    <x v="1"/>
    <x v="0"/>
    <n v="4"/>
    <n v="500"/>
    <s v="10%"/>
    <n v="1800"/>
    <n v="0.1"/>
  </r>
  <r>
    <n v="1777"/>
    <x v="206"/>
    <x v="756"/>
    <x v="2"/>
    <x v="6"/>
    <x v="2"/>
    <n v="1"/>
    <n v="1500"/>
    <s v="0%"/>
    <n v="1500"/>
    <n v="0"/>
  </r>
  <r>
    <n v="1778"/>
    <x v="33"/>
    <x v="757"/>
    <x v="1"/>
    <x v="11"/>
    <x v="2"/>
    <n v="1"/>
    <n v="4500"/>
    <s v="20%"/>
    <n v="3600"/>
    <n v="0.2"/>
  </r>
  <r>
    <n v="1779"/>
    <x v="135"/>
    <x v="758"/>
    <x v="3"/>
    <x v="0"/>
    <x v="0"/>
    <n v="8"/>
    <n v="250"/>
    <s v="5%"/>
    <n v="1900"/>
    <n v="0.05"/>
  </r>
  <r>
    <n v="1780"/>
    <x v="324"/>
    <x v="759"/>
    <x v="0"/>
    <x v="9"/>
    <x v="1"/>
    <n v="5"/>
    <n v="1500"/>
    <s v="15%"/>
    <n v="6375"/>
    <n v="0.15"/>
  </r>
  <r>
    <n v="1781"/>
    <x v="41"/>
    <x v="760"/>
    <x v="3"/>
    <x v="1"/>
    <x v="0"/>
    <n v="5"/>
    <n v="1000"/>
    <s v="0%"/>
    <n v="5000"/>
    <n v="0"/>
  </r>
  <r>
    <n v="1782"/>
    <x v="167"/>
    <x v="761"/>
    <x v="3"/>
    <x v="0"/>
    <x v="0"/>
    <n v="10"/>
    <n v="250"/>
    <s v="20%"/>
    <n v="2000"/>
    <n v="0.2"/>
  </r>
  <r>
    <n v="1783"/>
    <x v="201"/>
    <x v="762"/>
    <x v="3"/>
    <x v="6"/>
    <x v="2"/>
    <n v="6"/>
    <n v="250"/>
    <s v="10%"/>
    <n v="1350"/>
    <n v="0.1"/>
  </r>
  <r>
    <n v="1784"/>
    <x v="21"/>
    <x v="763"/>
    <x v="0"/>
    <x v="11"/>
    <x v="2"/>
    <n v="10"/>
    <n v="4500"/>
    <s v="20%"/>
    <n v="36000"/>
    <n v="0.2"/>
  </r>
  <r>
    <n v="1785"/>
    <x v="230"/>
    <x v="764"/>
    <x v="3"/>
    <x v="9"/>
    <x v="1"/>
    <n v="8"/>
    <n v="500"/>
    <s v="15%"/>
    <n v="3400"/>
    <n v="0.15"/>
  </r>
  <r>
    <n v="1786"/>
    <x v="237"/>
    <x v="765"/>
    <x v="2"/>
    <x v="7"/>
    <x v="2"/>
    <n v="1"/>
    <n v="500"/>
    <s v="10%"/>
    <n v="450"/>
    <n v="0.1"/>
  </r>
  <r>
    <n v="1787"/>
    <x v="274"/>
    <x v="766"/>
    <x v="0"/>
    <x v="14"/>
    <x v="2"/>
    <n v="7"/>
    <n v="1500"/>
    <s v="0%"/>
    <n v="10500"/>
    <n v="0"/>
  </r>
  <r>
    <n v="1788"/>
    <x v="82"/>
    <x v="767"/>
    <x v="0"/>
    <x v="3"/>
    <x v="1"/>
    <n v="10"/>
    <n v="500"/>
    <s v="15%"/>
    <n v="4250"/>
    <n v="0.15"/>
  </r>
  <r>
    <n v="1789"/>
    <x v="163"/>
    <x v="768"/>
    <x v="1"/>
    <x v="14"/>
    <x v="2"/>
    <n v="8"/>
    <n v="2500"/>
    <s v="15%"/>
    <n v="17000"/>
    <n v="0.15"/>
  </r>
  <r>
    <n v="1790"/>
    <x v="329"/>
    <x v="769"/>
    <x v="1"/>
    <x v="7"/>
    <x v="2"/>
    <n v="3"/>
    <n v="100"/>
    <s v="15%"/>
    <n v="255"/>
    <n v="0.15"/>
  </r>
  <r>
    <n v="1791"/>
    <x v="264"/>
    <x v="770"/>
    <x v="2"/>
    <x v="5"/>
    <x v="2"/>
    <n v="7"/>
    <n v="1500"/>
    <s v="0%"/>
    <n v="10500"/>
    <n v="0"/>
  </r>
  <r>
    <n v="1792"/>
    <x v="8"/>
    <x v="771"/>
    <x v="3"/>
    <x v="9"/>
    <x v="1"/>
    <n v="9"/>
    <n v="250"/>
    <s v="20%"/>
    <n v="1800"/>
    <n v="0.2"/>
  </r>
  <r>
    <n v="1793"/>
    <x v="227"/>
    <x v="772"/>
    <x v="2"/>
    <x v="11"/>
    <x v="2"/>
    <n v="10"/>
    <n v="2500"/>
    <s v="5%"/>
    <n v="23750"/>
    <n v="0.05"/>
  </r>
  <r>
    <n v="1794"/>
    <x v="193"/>
    <x v="773"/>
    <x v="1"/>
    <x v="14"/>
    <x v="2"/>
    <n v="7"/>
    <n v="1000"/>
    <s v="20%"/>
    <n v="5600"/>
    <n v="0.2"/>
  </r>
  <r>
    <n v="1795"/>
    <x v="230"/>
    <x v="774"/>
    <x v="3"/>
    <x v="7"/>
    <x v="2"/>
    <n v="7"/>
    <n v="4500"/>
    <s v="5%"/>
    <n v="29925"/>
    <n v="0.05"/>
  </r>
  <r>
    <n v="1796"/>
    <x v="257"/>
    <x v="775"/>
    <x v="1"/>
    <x v="4"/>
    <x v="0"/>
    <n v="5"/>
    <n v="100"/>
    <s v="20%"/>
    <n v="400"/>
    <n v="0.2"/>
  </r>
  <r>
    <n v="1797"/>
    <x v="273"/>
    <x v="776"/>
    <x v="3"/>
    <x v="1"/>
    <x v="0"/>
    <n v="5"/>
    <n v="2500"/>
    <s v="10%"/>
    <n v="11250"/>
    <n v="0.1"/>
  </r>
  <r>
    <n v="1798"/>
    <x v="270"/>
    <x v="777"/>
    <x v="3"/>
    <x v="2"/>
    <x v="1"/>
    <n v="7"/>
    <n v="100"/>
    <s v="15%"/>
    <n v="595"/>
    <n v="0.15"/>
  </r>
  <r>
    <n v="1799"/>
    <x v="280"/>
    <x v="778"/>
    <x v="2"/>
    <x v="6"/>
    <x v="2"/>
    <n v="3"/>
    <n v="4500"/>
    <s v="10%"/>
    <n v="12150"/>
    <n v="0.1"/>
  </r>
  <r>
    <n v="1800"/>
    <x v="328"/>
    <x v="779"/>
    <x v="1"/>
    <x v="14"/>
    <x v="2"/>
    <n v="7"/>
    <n v="1500"/>
    <s v="15%"/>
    <n v="8925"/>
    <n v="0.15"/>
  </r>
  <r>
    <n v="1801"/>
    <x v="276"/>
    <x v="780"/>
    <x v="1"/>
    <x v="14"/>
    <x v="2"/>
    <n v="10"/>
    <n v="1500"/>
    <s v="15%"/>
    <n v="12750"/>
    <n v="0.15"/>
  </r>
  <r>
    <n v="1802"/>
    <x v="256"/>
    <x v="781"/>
    <x v="3"/>
    <x v="6"/>
    <x v="2"/>
    <n v="1"/>
    <n v="2500"/>
    <s v="5%"/>
    <n v="2375"/>
    <n v="0.05"/>
  </r>
  <r>
    <n v="1803"/>
    <x v="311"/>
    <x v="782"/>
    <x v="2"/>
    <x v="1"/>
    <x v="0"/>
    <n v="10"/>
    <n v="2500"/>
    <s v="10%"/>
    <n v="22500"/>
    <n v="0.1"/>
  </r>
  <r>
    <n v="1804"/>
    <x v="33"/>
    <x v="783"/>
    <x v="1"/>
    <x v="13"/>
    <x v="0"/>
    <n v="6"/>
    <n v="1000"/>
    <s v="5%"/>
    <n v="5700"/>
    <n v="0.05"/>
  </r>
  <r>
    <n v="1805"/>
    <x v="330"/>
    <x v="784"/>
    <x v="0"/>
    <x v="1"/>
    <x v="0"/>
    <n v="1"/>
    <n v="100"/>
    <s v="20%"/>
    <n v="80"/>
    <n v="0.2"/>
  </r>
  <r>
    <n v="1806"/>
    <x v="52"/>
    <x v="785"/>
    <x v="2"/>
    <x v="1"/>
    <x v="0"/>
    <n v="1"/>
    <n v="2500"/>
    <s v="20%"/>
    <n v="2000"/>
    <n v="0.2"/>
  </r>
  <r>
    <n v="1807"/>
    <x v="146"/>
    <x v="786"/>
    <x v="2"/>
    <x v="9"/>
    <x v="1"/>
    <n v="2"/>
    <n v="100"/>
    <s v="20%"/>
    <n v="160"/>
    <n v="0.2"/>
  </r>
  <r>
    <n v="1808"/>
    <x v="113"/>
    <x v="787"/>
    <x v="3"/>
    <x v="5"/>
    <x v="2"/>
    <n v="4"/>
    <n v="500"/>
    <s v="5%"/>
    <n v="1900"/>
    <n v="0.05"/>
  </r>
  <r>
    <n v="1809"/>
    <x v="261"/>
    <x v="788"/>
    <x v="2"/>
    <x v="9"/>
    <x v="1"/>
    <n v="4"/>
    <n v="1000"/>
    <s v="5%"/>
    <n v="3800"/>
    <n v="0.05"/>
  </r>
  <r>
    <n v="1810"/>
    <x v="62"/>
    <x v="789"/>
    <x v="3"/>
    <x v="6"/>
    <x v="2"/>
    <n v="10"/>
    <n v="4500"/>
    <s v="5%"/>
    <n v="42750"/>
    <n v="0.05"/>
  </r>
  <r>
    <n v="1811"/>
    <x v="317"/>
    <x v="790"/>
    <x v="2"/>
    <x v="6"/>
    <x v="2"/>
    <n v="6"/>
    <n v="2500"/>
    <s v="5%"/>
    <n v="14250"/>
    <n v="0.05"/>
  </r>
  <r>
    <n v="1812"/>
    <x v="195"/>
    <x v="791"/>
    <x v="0"/>
    <x v="9"/>
    <x v="1"/>
    <n v="1"/>
    <n v="100"/>
    <s v="10%"/>
    <n v="90"/>
    <n v="0.1"/>
  </r>
  <r>
    <n v="1813"/>
    <x v="238"/>
    <x v="792"/>
    <x v="2"/>
    <x v="13"/>
    <x v="0"/>
    <n v="1"/>
    <n v="100"/>
    <s v="10%"/>
    <n v="90"/>
    <n v="0.1"/>
  </r>
  <r>
    <n v="1814"/>
    <x v="155"/>
    <x v="793"/>
    <x v="0"/>
    <x v="0"/>
    <x v="0"/>
    <n v="10"/>
    <n v="300"/>
    <s v="10%"/>
    <n v="2700"/>
    <n v="0.1"/>
  </r>
  <r>
    <n v="1815"/>
    <x v="220"/>
    <x v="794"/>
    <x v="3"/>
    <x v="10"/>
    <x v="1"/>
    <n v="6"/>
    <n v="2500"/>
    <s v="5%"/>
    <n v="14250"/>
    <n v="0.05"/>
  </r>
  <r>
    <n v="1816"/>
    <x v="259"/>
    <x v="795"/>
    <x v="3"/>
    <x v="11"/>
    <x v="2"/>
    <n v="7"/>
    <n v="1000"/>
    <s v="10%"/>
    <n v="6300"/>
    <n v="0.1"/>
  </r>
  <r>
    <n v="1817"/>
    <x v="328"/>
    <x v="796"/>
    <x v="0"/>
    <x v="12"/>
    <x v="0"/>
    <n v="3"/>
    <n v="4500"/>
    <s v="0%"/>
    <n v="13500"/>
    <n v="0"/>
  </r>
  <r>
    <n v="1818"/>
    <x v="22"/>
    <x v="797"/>
    <x v="2"/>
    <x v="6"/>
    <x v="2"/>
    <n v="8"/>
    <n v="2500"/>
    <s v="0%"/>
    <n v="20000"/>
    <n v="0"/>
  </r>
  <r>
    <n v="1819"/>
    <x v="245"/>
    <x v="798"/>
    <x v="1"/>
    <x v="14"/>
    <x v="2"/>
    <n v="8"/>
    <n v="250"/>
    <s v="5%"/>
    <n v="1900"/>
    <n v="0.05"/>
  </r>
  <r>
    <n v="1820"/>
    <x v="125"/>
    <x v="799"/>
    <x v="1"/>
    <x v="9"/>
    <x v="1"/>
    <n v="5"/>
    <n v="500"/>
    <s v="20%"/>
    <n v="2000"/>
    <n v="0.2"/>
  </r>
  <r>
    <n v="1821"/>
    <x v="131"/>
    <x v="800"/>
    <x v="1"/>
    <x v="8"/>
    <x v="1"/>
    <n v="8"/>
    <n v="250"/>
    <s v="10%"/>
    <n v="1800"/>
    <n v="0.1"/>
  </r>
  <r>
    <n v="1822"/>
    <x v="146"/>
    <x v="801"/>
    <x v="1"/>
    <x v="7"/>
    <x v="2"/>
    <n v="2"/>
    <n v="1500"/>
    <s v="5%"/>
    <n v="2850"/>
    <n v="0.05"/>
  </r>
  <r>
    <n v="1823"/>
    <x v="331"/>
    <x v="802"/>
    <x v="1"/>
    <x v="11"/>
    <x v="2"/>
    <n v="10"/>
    <n v="100"/>
    <s v="10%"/>
    <n v="900"/>
    <n v="0.1"/>
  </r>
  <r>
    <n v="1824"/>
    <x v="149"/>
    <x v="803"/>
    <x v="3"/>
    <x v="13"/>
    <x v="0"/>
    <n v="3"/>
    <n v="500"/>
    <s v="0%"/>
    <n v="1500"/>
    <n v="0"/>
  </r>
  <r>
    <n v="1825"/>
    <x v="296"/>
    <x v="804"/>
    <x v="0"/>
    <x v="12"/>
    <x v="0"/>
    <n v="2"/>
    <n v="2500"/>
    <s v="10%"/>
    <n v="4500"/>
    <n v="0.1"/>
  </r>
  <r>
    <n v="1826"/>
    <x v="322"/>
    <x v="805"/>
    <x v="3"/>
    <x v="8"/>
    <x v="1"/>
    <n v="3"/>
    <n v="2500"/>
    <s v="15%"/>
    <n v="6375"/>
    <n v="0.15"/>
  </r>
  <r>
    <n v="1827"/>
    <x v="231"/>
    <x v="806"/>
    <x v="0"/>
    <x v="14"/>
    <x v="2"/>
    <n v="7"/>
    <n v="1000"/>
    <s v="20%"/>
    <n v="5600"/>
    <n v="0.2"/>
  </r>
  <r>
    <n v="1828"/>
    <x v="282"/>
    <x v="807"/>
    <x v="3"/>
    <x v="2"/>
    <x v="1"/>
    <n v="8"/>
    <n v="2500"/>
    <s v="15%"/>
    <n v="17000"/>
    <n v="0.15"/>
  </r>
  <r>
    <n v="1829"/>
    <x v="314"/>
    <x v="808"/>
    <x v="1"/>
    <x v="7"/>
    <x v="2"/>
    <n v="3"/>
    <n v="2500"/>
    <s v="15%"/>
    <n v="6375"/>
    <n v="0.15"/>
  </r>
  <r>
    <n v="1830"/>
    <x v="323"/>
    <x v="809"/>
    <x v="2"/>
    <x v="8"/>
    <x v="1"/>
    <n v="8"/>
    <n v="250"/>
    <s v="10%"/>
    <n v="1800"/>
    <n v="0.1"/>
  </r>
  <r>
    <n v="1831"/>
    <x v="332"/>
    <x v="810"/>
    <x v="2"/>
    <x v="8"/>
    <x v="1"/>
    <n v="5"/>
    <n v="500"/>
    <s v="20%"/>
    <n v="2000"/>
    <n v="0.2"/>
  </r>
  <r>
    <n v="1832"/>
    <x v="106"/>
    <x v="811"/>
    <x v="1"/>
    <x v="9"/>
    <x v="1"/>
    <n v="2"/>
    <n v="2500"/>
    <s v="15%"/>
    <n v="4250"/>
    <n v="0.15"/>
  </r>
  <r>
    <n v="1833"/>
    <x v="36"/>
    <x v="812"/>
    <x v="1"/>
    <x v="11"/>
    <x v="2"/>
    <n v="10"/>
    <n v="250"/>
    <s v="20%"/>
    <n v="2000"/>
    <n v="0.2"/>
  </r>
  <r>
    <n v="1834"/>
    <x v="305"/>
    <x v="813"/>
    <x v="3"/>
    <x v="2"/>
    <x v="1"/>
    <n v="1"/>
    <n v="250"/>
    <s v="15%"/>
    <n v="212.5"/>
    <n v="0.15"/>
  </r>
  <r>
    <n v="1835"/>
    <x v="100"/>
    <x v="814"/>
    <x v="0"/>
    <x v="7"/>
    <x v="2"/>
    <n v="5"/>
    <n v="1500"/>
    <s v="5%"/>
    <n v="7125"/>
    <n v="0.05"/>
  </r>
  <r>
    <n v="1836"/>
    <x v="290"/>
    <x v="815"/>
    <x v="2"/>
    <x v="0"/>
    <x v="0"/>
    <n v="7"/>
    <n v="100"/>
    <s v="0%"/>
    <n v="700"/>
    <n v="0"/>
  </r>
  <r>
    <n v="1837"/>
    <x v="4"/>
    <x v="816"/>
    <x v="3"/>
    <x v="12"/>
    <x v="0"/>
    <n v="10"/>
    <n v="4500"/>
    <s v="10%"/>
    <n v="40500"/>
    <n v="0.1"/>
  </r>
  <r>
    <n v="1838"/>
    <x v="316"/>
    <x v="19"/>
    <x v="0"/>
    <x v="5"/>
    <x v="2"/>
    <n v="3"/>
    <n v="300"/>
    <s v="0%"/>
    <n v="900"/>
    <n v="0"/>
  </r>
  <r>
    <n v="1839"/>
    <x v="314"/>
    <x v="817"/>
    <x v="2"/>
    <x v="8"/>
    <x v="1"/>
    <n v="8"/>
    <n v="300"/>
    <s v="5%"/>
    <n v="2280"/>
    <n v="0.05"/>
  </r>
  <r>
    <n v="1840"/>
    <x v="188"/>
    <x v="818"/>
    <x v="4"/>
    <x v="3"/>
    <x v="1"/>
    <n v="8"/>
    <n v="300"/>
    <s v="15%"/>
    <n v="2040"/>
    <n v="0.15"/>
  </r>
  <r>
    <n v="1841"/>
    <x v="253"/>
    <x v="819"/>
    <x v="2"/>
    <x v="12"/>
    <x v="0"/>
    <n v="8"/>
    <n v="4500"/>
    <s v="0%"/>
    <n v="36000"/>
    <n v="0"/>
  </r>
  <r>
    <n v="1842"/>
    <x v="203"/>
    <x v="820"/>
    <x v="2"/>
    <x v="5"/>
    <x v="2"/>
    <n v="6"/>
    <n v="100"/>
    <s v="0%"/>
    <n v="600"/>
    <n v="0"/>
  </r>
  <r>
    <n v="1843"/>
    <x v="87"/>
    <x v="821"/>
    <x v="2"/>
    <x v="13"/>
    <x v="0"/>
    <n v="5"/>
    <n v="100"/>
    <s v="15%"/>
    <n v="425"/>
    <n v="0.15"/>
  </r>
  <r>
    <n v="1844"/>
    <x v="47"/>
    <x v="822"/>
    <x v="1"/>
    <x v="12"/>
    <x v="0"/>
    <n v="4"/>
    <n v="100"/>
    <s v="20%"/>
    <n v="320"/>
    <n v="0.2"/>
  </r>
  <r>
    <n v="1845"/>
    <x v="90"/>
    <x v="823"/>
    <x v="3"/>
    <x v="12"/>
    <x v="0"/>
    <n v="8"/>
    <n v="250"/>
    <s v="15%"/>
    <n v="1700"/>
    <n v="0.15"/>
  </r>
  <r>
    <n v="1846"/>
    <x v="143"/>
    <x v="824"/>
    <x v="0"/>
    <x v="1"/>
    <x v="0"/>
    <n v="8"/>
    <n v="1500"/>
    <s v="15%"/>
    <n v="10200"/>
    <n v="0.15"/>
  </r>
  <r>
    <n v="1847"/>
    <x v="141"/>
    <x v="825"/>
    <x v="2"/>
    <x v="12"/>
    <x v="0"/>
    <n v="3"/>
    <n v="1000"/>
    <s v="15%"/>
    <n v="2550"/>
    <n v="0.15"/>
  </r>
  <r>
    <n v="1848"/>
    <x v="57"/>
    <x v="826"/>
    <x v="1"/>
    <x v="6"/>
    <x v="2"/>
    <n v="10"/>
    <n v="500"/>
    <s v="10%"/>
    <n v="4500"/>
    <n v="0.1"/>
  </r>
  <r>
    <n v="1849"/>
    <x v="109"/>
    <x v="827"/>
    <x v="3"/>
    <x v="12"/>
    <x v="0"/>
    <n v="2"/>
    <n v="2500"/>
    <s v="15%"/>
    <n v="4250"/>
    <n v="0.15"/>
  </r>
  <r>
    <n v="1850"/>
    <x v="18"/>
    <x v="828"/>
    <x v="1"/>
    <x v="11"/>
    <x v="2"/>
    <n v="6"/>
    <n v="300"/>
    <s v="5%"/>
    <n v="1710"/>
    <n v="0.05"/>
  </r>
  <r>
    <n v="1851"/>
    <x v="262"/>
    <x v="829"/>
    <x v="3"/>
    <x v="10"/>
    <x v="1"/>
    <n v="9"/>
    <n v="500"/>
    <s v="15%"/>
    <n v="3825"/>
    <n v="0.15"/>
  </r>
  <r>
    <n v="1852"/>
    <x v="286"/>
    <x v="830"/>
    <x v="2"/>
    <x v="4"/>
    <x v="0"/>
    <n v="3"/>
    <n v="250"/>
    <s v="0%"/>
    <n v="750"/>
    <n v="0"/>
  </r>
  <r>
    <n v="1853"/>
    <x v="89"/>
    <x v="831"/>
    <x v="1"/>
    <x v="9"/>
    <x v="1"/>
    <n v="10"/>
    <n v="250"/>
    <s v="20%"/>
    <n v="2000"/>
    <n v="0.2"/>
  </r>
  <r>
    <n v="1854"/>
    <x v="17"/>
    <x v="832"/>
    <x v="2"/>
    <x v="3"/>
    <x v="1"/>
    <n v="3"/>
    <n v="1000"/>
    <s v="15%"/>
    <n v="2550"/>
    <n v="0.15"/>
  </r>
  <r>
    <n v="1855"/>
    <x v="208"/>
    <x v="19"/>
    <x v="2"/>
    <x v="6"/>
    <x v="2"/>
    <n v="2"/>
    <n v="500"/>
    <s v="15%"/>
    <n v="850"/>
    <n v="0.15"/>
  </r>
  <r>
    <n v="1856"/>
    <x v="39"/>
    <x v="833"/>
    <x v="3"/>
    <x v="11"/>
    <x v="2"/>
    <n v="5"/>
    <n v="300"/>
    <s v="0%"/>
    <n v="1500"/>
    <n v="0"/>
  </r>
  <r>
    <n v="1857"/>
    <x v="213"/>
    <x v="834"/>
    <x v="0"/>
    <x v="1"/>
    <x v="0"/>
    <n v="3"/>
    <n v="2500"/>
    <s v="5%"/>
    <n v="7125"/>
    <n v="0.05"/>
  </r>
  <r>
    <n v="1858"/>
    <x v="261"/>
    <x v="835"/>
    <x v="0"/>
    <x v="7"/>
    <x v="2"/>
    <n v="6"/>
    <n v="100"/>
    <s v="15%"/>
    <n v="510"/>
    <n v="0.15"/>
  </r>
  <r>
    <n v="1859"/>
    <x v="179"/>
    <x v="836"/>
    <x v="0"/>
    <x v="10"/>
    <x v="1"/>
    <n v="6"/>
    <n v="1500"/>
    <s v="15%"/>
    <n v="7650"/>
    <n v="0.15"/>
  </r>
  <r>
    <n v="1860"/>
    <x v="302"/>
    <x v="837"/>
    <x v="3"/>
    <x v="1"/>
    <x v="0"/>
    <n v="10"/>
    <n v="100"/>
    <s v="20%"/>
    <n v="800"/>
    <n v="0.2"/>
  </r>
  <r>
    <n v="1861"/>
    <x v="98"/>
    <x v="838"/>
    <x v="0"/>
    <x v="11"/>
    <x v="2"/>
    <n v="6"/>
    <n v="100"/>
    <s v="10%"/>
    <n v="540"/>
    <n v="0.1"/>
  </r>
  <r>
    <n v="1862"/>
    <x v="235"/>
    <x v="839"/>
    <x v="2"/>
    <x v="13"/>
    <x v="0"/>
    <n v="10"/>
    <n v="4500"/>
    <s v="10%"/>
    <n v="40500"/>
    <n v="0.1"/>
  </r>
  <r>
    <n v="1863"/>
    <x v="56"/>
    <x v="646"/>
    <x v="3"/>
    <x v="4"/>
    <x v="0"/>
    <n v="7"/>
    <n v="300"/>
    <s v="20%"/>
    <n v="1680"/>
    <n v="0.2"/>
  </r>
  <r>
    <n v="1864"/>
    <x v="129"/>
    <x v="840"/>
    <x v="3"/>
    <x v="6"/>
    <x v="2"/>
    <n v="1"/>
    <n v="100"/>
    <s v="20%"/>
    <n v="80"/>
    <n v="0.2"/>
  </r>
  <r>
    <n v="1865"/>
    <x v="298"/>
    <x v="841"/>
    <x v="3"/>
    <x v="0"/>
    <x v="0"/>
    <n v="1"/>
    <n v="1500"/>
    <s v="10%"/>
    <n v="1350"/>
    <n v="0.1"/>
  </r>
  <r>
    <n v="1866"/>
    <x v="194"/>
    <x v="842"/>
    <x v="3"/>
    <x v="11"/>
    <x v="2"/>
    <n v="10"/>
    <n v="100"/>
    <s v="15%"/>
    <n v="850"/>
    <n v="0.15"/>
  </r>
  <r>
    <n v="1867"/>
    <x v="172"/>
    <x v="843"/>
    <x v="3"/>
    <x v="13"/>
    <x v="0"/>
    <n v="10"/>
    <n v="500"/>
    <s v="10%"/>
    <n v="4500"/>
    <n v="0.1"/>
  </r>
  <r>
    <n v="1868"/>
    <x v="333"/>
    <x v="844"/>
    <x v="3"/>
    <x v="1"/>
    <x v="0"/>
    <n v="7"/>
    <n v="500"/>
    <s v="0%"/>
    <n v="3500"/>
    <n v="0"/>
  </r>
  <r>
    <n v="1869"/>
    <x v="267"/>
    <x v="845"/>
    <x v="1"/>
    <x v="5"/>
    <x v="2"/>
    <n v="3"/>
    <n v="2500"/>
    <s v="15%"/>
    <n v="6375"/>
    <n v="0.15"/>
  </r>
  <r>
    <n v="1870"/>
    <x v="52"/>
    <x v="846"/>
    <x v="2"/>
    <x v="2"/>
    <x v="1"/>
    <n v="2"/>
    <n v="1500"/>
    <s v="20%"/>
    <n v="2400"/>
    <n v="0.2"/>
  </r>
  <r>
    <n v="1871"/>
    <x v="162"/>
    <x v="847"/>
    <x v="2"/>
    <x v="7"/>
    <x v="2"/>
    <n v="8"/>
    <n v="2500"/>
    <s v="15%"/>
    <n v="17000"/>
    <n v="0.15"/>
  </r>
  <r>
    <n v="1872"/>
    <x v="30"/>
    <x v="848"/>
    <x v="1"/>
    <x v="1"/>
    <x v="0"/>
    <n v="8"/>
    <n v="4500"/>
    <s v="5%"/>
    <n v="34200"/>
    <n v="0.05"/>
  </r>
  <r>
    <n v="1873"/>
    <x v="158"/>
    <x v="849"/>
    <x v="2"/>
    <x v="9"/>
    <x v="1"/>
    <n v="6"/>
    <n v="250"/>
    <s v="20%"/>
    <n v="1200"/>
    <n v="0.2"/>
  </r>
  <r>
    <n v="1874"/>
    <x v="27"/>
    <x v="850"/>
    <x v="3"/>
    <x v="1"/>
    <x v="0"/>
    <n v="2"/>
    <n v="1500"/>
    <s v="10%"/>
    <n v="2700"/>
    <n v="0.1"/>
  </r>
  <r>
    <n v="1875"/>
    <x v="44"/>
    <x v="851"/>
    <x v="3"/>
    <x v="9"/>
    <x v="1"/>
    <n v="7"/>
    <n v="100"/>
    <s v="10%"/>
    <n v="630"/>
    <n v="0.1"/>
  </r>
  <r>
    <n v="1876"/>
    <x v="17"/>
    <x v="852"/>
    <x v="2"/>
    <x v="9"/>
    <x v="1"/>
    <n v="6"/>
    <n v="250"/>
    <s v="0%"/>
    <n v="1500"/>
    <n v="0"/>
  </r>
  <r>
    <n v="1877"/>
    <x v="140"/>
    <x v="853"/>
    <x v="2"/>
    <x v="14"/>
    <x v="2"/>
    <n v="8"/>
    <n v="300"/>
    <s v="5%"/>
    <n v="2280"/>
    <n v="0.05"/>
  </r>
  <r>
    <n v="1878"/>
    <x v="127"/>
    <x v="854"/>
    <x v="0"/>
    <x v="4"/>
    <x v="0"/>
    <n v="2"/>
    <n v="2500"/>
    <s v="15%"/>
    <n v="4250"/>
    <n v="0.15"/>
  </r>
  <r>
    <n v="1879"/>
    <x v="327"/>
    <x v="855"/>
    <x v="1"/>
    <x v="12"/>
    <x v="0"/>
    <n v="5"/>
    <n v="250"/>
    <s v="5%"/>
    <n v="1187.5"/>
    <n v="0.05"/>
  </r>
  <r>
    <n v="1880"/>
    <x v="108"/>
    <x v="856"/>
    <x v="1"/>
    <x v="0"/>
    <x v="0"/>
    <n v="9"/>
    <n v="250"/>
    <s v="5%"/>
    <n v="2137.5"/>
    <n v="0.05"/>
  </r>
  <r>
    <n v="1881"/>
    <x v="256"/>
    <x v="857"/>
    <x v="3"/>
    <x v="0"/>
    <x v="0"/>
    <n v="2"/>
    <n v="300"/>
    <s v="0%"/>
    <n v="600"/>
    <n v="0"/>
  </r>
  <r>
    <n v="1882"/>
    <x v="13"/>
    <x v="858"/>
    <x v="1"/>
    <x v="12"/>
    <x v="0"/>
    <n v="2"/>
    <n v="1500"/>
    <s v="15%"/>
    <n v="2550"/>
    <n v="0.15"/>
  </r>
  <r>
    <n v="1883"/>
    <x v="144"/>
    <x v="859"/>
    <x v="3"/>
    <x v="2"/>
    <x v="1"/>
    <n v="1"/>
    <n v="1500"/>
    <s v="15%"/>
    <n v="1275"/>
    <n v="0.15"/>
  </r>
  <r>
    <n v="1884"/>
    <x v="231"/>
    <x v="860"/>
    <x v="0"/>
    <x v="6"/>
    <x v="2"/>
    <n v="3"/>
    <n v="1000"/>
    <s v="0%"/>
    <n v="3000"/>
    <n v="0"/>
  </r>
  <r>
    <n v="1885"/>
    <x v="321"/>
    <x v="861"/>
    <x v="3"/>
    <x v="4"/>
    <x v="0"/>
    <n v="3"/>
    <n v="100"/>
    <s v="0%"/>
    <n v="300"/>
    <n v="0"/>
  </r>
  <r>
    <n v="1886"/>
    <x v="172"/>
    <x v="862"/>
    <x v="0"/>
    <x v="11"/>
    <x v="2"/>
    <n v="7"/>
    <n v="250"/>
    <s v="0%"/>
    <n v="1750"/>
    <n v="0"/>
  </r>
  <r>
    <n v="1887"/>
    <x v="75"/>
    <x v="863"/>
    <x v="1"/>
    <x v="13"/>
    <x v="0"/>
    <n v="7"/>
    <n v="250"/>
    <s v="10%"/>
    <n v="1575"/>
    <n v="0.1"/>
  </r>
  <r>
    <n v="1888"/>
    <x v="260"/>
    <x v="864"/>
    <x v="1"/>
    <x v="2"/>
    <x v="1"/>
    <n v="4"/>
    <n v="100"/>
    <s v="10%"/>
    <n v="360"/>
    <n v="0.1"/>
  </r>
  <r>
    <n v="1889"/>
    <x v="257"/>
    <x v="865"/>
    <x v="0"/>
    <x v="7"/>
    <x v="2"/>
    <n v="7"/>
    <n v="4500"/>
    <s v="0%"/>
    <n v="31500"/>
    <n v="0"/>
  </r>
  <r>
    <n v="1890"/>
    <x v="334"/>
    <x v="866"/>
    <x v="2"/>
    <x v="8"/>
    <x v="1"/>
    <n v="9"/>
    <n v="2500"/>
    <s v="20%"/>
    <n v="18000"/>
    <n v="0.2"/>
  </r>
  <r>
    <n v="1891"/>
    <x v="35"/>
    <x v="867"/>
    <x v="2"/>
    <x v="4"/>
    <x v="0"/>
    <n v="3"/>
    <n v="100"/>
    <s v="0%"/>
    <n v="300"/>
    <n v="0"/>
  </r>
  <r>
    <n v="1892"/>
    <x v="80"/>
    <x v="868"/>
    <x v="0"/>
    <x v="6"/>
    <x v="2"/>
    <n v="10"/>
    <n v="1000"/>
    <s v="0%"/>
    <n v="10000"/>
    <n v="0"/>
  </r>
  <r>
    <n v="1893"/>
    <x v="113"/>
    <x v="869"/>
    <x v="0"/>
    <x v="5"/>
    <x v="2"/>
    <n v="3"/>
    <n v="1000"/>
    <s v="15%"/>
    <n v="2550"/>
    <n v="0.15"/>
  </r>
  <r>
    <n v="1894"/>
    <x v="48"/>
    <x v="870"/>
    <x v="0"/>
    <x v="4"/>
    <x v="0"/>
    <n v="5"/>
    <n v="4500"/>
    <s v="10%"/>
    <n v="20250"/>
    <n v="0.1"/>
  </r>
  <r>
    <n v="1895"/>
    <x v="27"/>
    <x v="19"/>
    <x v="4"/>
    <x v="4"/>
    <x v="0"/>
    <n v="1"/>
    <n v="300"/>
    <s v="0%"/>
    <n v="300"/>
    <n v="0"/>
  </r>
  <r>
    <n v="1896"/>
    <x v="210"/>
    <x v="871"/>
    <x v="1"/>
    <x v="12"/>
    <x v="0"/>
    <n v="7"/>
    <n v="250"/>
    <s v="0%"/>
    <n v="1750"/>
    <n v="0"/>
  </r>
  <r>
    <n v="1897"/>
    <x v="95"/>
    <x v="872"/>
    <x v="0"/>
    <x v="3"/>
    <x v="1"/>
    <n v="7"/>
    <n v="1500"/>
    <s v="15%"/>
    <n v="8925"/>
    <n v="0.15"/>
  </r>
  <r>
    <n v="1898"/>
    <x v="262"/>
    <x v="19"/>
    <x v="1"/>
    <x v="2"/>
    <x v="1"/>
    <n v="6"/>
    <n v="500"/>
    <s v="15%"/>
    <n v="2550"/>
    <n v="0.15"/>
  </r>
  <r>
    <n v="1899"/>
    <x v="115"/>
    <x v="873"/>
    <x v="3"/>
    <x v="4"/>
    <x v="0"/>
    <n v="4"/>
    <n v="250"/>
    <s v="20%"/>
    <n v="800"/>
    <n v="0.2"/>
  </r>
  <r>
    <n v="1900"/>
    <x v="335"/>
    <x v="874"/>
    <x v="4"/>
    <x v="5"/>
    <x v="2"/>
    <n v="5"/>
    <n v="4500"/>
    <s v="20%"/>
    <n v="18000"/>
    <n v="0.2"/>
  </r>
  <r>
    <n v="1901"/>
    <x v="18"/>
    <x v="875"/>
    <x v="0"/>
    <x v="3"/>
    <x v="1"/>
    <n v="10"/>
    <n v="4500"/>
    <s v="5%"/>
    <n v="42750"/>
    <n v="0.05"/>
  </r>
  <r>
    <n v="1902"/>
    <x v="139"/>
    <x v="876"/>
    <x v="0"/>
    <x v="1"/>
    <x v="0"/>
    <n v="2"/>
    <n v="300"/>
    <s v="0%"/>
    <n v="600"/>
    <n v="0"/>
  </r>
  <r>
    <n v="1903"/>
    <x v="104"/>
    <x v="877"/>
    <x v="3"/>
    <x v="4"/>
    <x v="0"/>
    <n v="4"/>
    <n v="1354.67"/>
    <s v="20%"/>
    <n v="4334.9440000000004"/>
    <n v="0.2"/>
  </r>
  <r>
    <n v="1904"/>
    <x v="309"/>
    <x v="878"/>
    <x v="3"/>
    <x v="5"/>
    <x v="2"/>
    <n v="6"/>
    <n v="2500"/>
    <s v="15%"/>
    <n v="12750"/>
    <n v="0.15"/>
  </r>
  <r>
    <n v="1905"/>
    <x v="244"/>
    <x v="879"/>
    <x v="2"/>
    <x v="0"/>
    <x v="0"/>
    <n v="4"/>
    <n v="100"/>
    <s v="10%"/>
    <n v="360"/>
    <n v="0.1"/>
  </r>
  <r>
    <n v="1906"/>
    <x v="328"/>
    <x v="220"/>
    <x v="2"/>
    <x v="5"/>
    <x v="2"/>
    <n v="10"/>
    <n v="100"/>
    <s v="5%"/>
    <n v="950"/>
    <n v="0.05"/>
  </r>
  <r>
    <n v="1907"/>
    <x v="1"/>
    <x v="880"/>
    <x v="2"/>
    <x v="11"/>
    <x v="2"/>
    <n v="2"/>
    <n v="250"/>
    <s v="0%"/>
    <n v="500"/>
    <n v="0"/>
  </r>
  <r>
    <n v="1908"/>
    <x v="336"/>
    <x v="881"/>
    <x v="0"/>
    <x v="11"/>
    <x v="2"/>
    <n v="4"/>
    <n v="250"/>
    <s v="15%"/>
    <n v="850"/>
    <n v="0.15"/>
  </r>
  <r>
    <n v="1909"/>
    <x v="335"/>
    <x v="882"/>
    <x v="2"/>
    <x v="1"/>
    <x v="0"/>
    <n v="2"/>
    <n v="4500"/>
    <s v="0%"/>
    <n v="9000"/>
    <n v="0"/>
  </r>
  <r>
    <n v="1910"/>
    <x v="313"/>
    <x v="883"/>
    <x v="1"/>
    <x v="2"/>
    <x v="1"/>
    <n v="6"/>
    <n v="250"/>
    <s v="5%"/>
    <n v="1425"/>
    <n v="0.05"/>
  </r>
  <r>
    <n v="1911"/>
    <x v="103"/>
    <x v="884"/>
    <x v="1"/>
    <x v="12"/>
    <x v="0"/>
    <n v="2"/>
    <n v="250"/>
    <s v="0%"/>
    <n v="500"/>
    <n v="0"/>
  </r>
  <r>
    <n v="1912"/>
    <x v="211"/>
    <x v="885"/>
    <x v="2"/>
    <x v="6"/>
    <x v="2"/>
    <n v="10"/>
    <n v="100"/>
    <s v="15%"/>
    <n v="850"/>
    <n v="0.15"/>
  </r>
  <r>
    <n v="1913"/>
    <x v="191"/>
    <x v="886"/>
    <x v="3"/>
    <x v="3"/>
    <x v="1"/>
    <n v="1"/>
    <n v="4500"/>
    <s v="20%"/>
    <n v="3600"/>
    <n v="0.2"/>
  </r>
  <r>
    <n v="1914"/>
    <x v="337"/>
    <x v="887"/>
    <x v="0"/>
    <x v="0"/>
    <x v="0"/>
    <n v="10"/>
    <n v="500"/>
    <s v="20%"/>
    <n v="4000"/>
    <n v="0.2"/>
  </r>
  <r>
    <n v="1915"/>
    <x v="92"/>
    <x v="888"/>
    <x v="0"/>
    <x v="13"/>
    <x v="0"/>
    <n v="8"/>
    <n v="300"/>
    <s v="5%"/>
    <n v="2280"/>
    <n v="0.05"/>
  </r>
  <r>
    <n v="1916"/>
    <x v="186"/>
    <x v="889"/>
    <x v="0"/>
    <x v="7"/>
    <x v="2"/>
    <n v="6"/>
    <n v="1000"/>
    <s v="20%"/>
    <n v="4800"/>
    <n v="0.2"/>
  </r>
  <r>
    <n v="1917"/>
    <x v="246"/>
    <x v="890"/>
    <x v="0"/>
    <x v="5"/>
    <x v="2"/>
    <n v="9"/>
    <n v="300"/>
    <s v="0%"/>
    <n v="2700"/>
    <n v="0"/>
  </r>
  <r>
    <n v="1918"/>
    <x v="338"/>
    <x v="891"/>
    <x v="1"/>
    <x v="11"/>
    <x v="2"/>
    <n v="4"/>
    <n v="500"/>
    <s v="5%"/>
    <n v="1900"/>
    <n v="0.05"/>
  </r>
  <r>
    <n v="1919"/>
    <x v="79"/>
    <x v="892"/>
    <x v="3"/>
    <x v="7"/>
    <x v="2"/>
    <n v="6"/>
    <n v="1500"/>
    <s v="20%"/>
    <n v="7200"/>
    <n v="0.2"/>
  </r>
  <r>
    <n v="1920"/>
    <x v="13"/>
    <x v="893"/>
    <x v="0"/>
    <x v="2"/>
    <x v="1"/>
    <n v="4"/>
    <n v="100"/>
    <s v="5%"/>
    <n v="380"/>
    <n v="0.05"/>
  </r>
  <r>
    <n v="1921"/>
    <x v="38"/>
    <x v="894"/>
    <x v="1"/>
    <x v="14"/>
    <x v="2"/>
    <n v="4"/>
    <n v="2500"/>
    <s v="5%"/>
    <n v="9500"/>
    <n v="0.05"/>
  </r>
  <r>
    <n v="1922"/>
    <x v="196"/>
    <x v="895"/>
    <x v="3"/>
    <x v="8"/>
    <x v="1"/>
    <n v="5"/>
    <n v="4500"/>
    <s v="5%"/>
    <n v="21375"/>
    <n v="0.05"/>
  </r>
  <r>
    <n v="1923"/>
    <x v="50"/>
    <x v="896"/>
    <x v="0"/>
    <x v="8"/>
    <x v="1"/>
    <n v="5"/>
    <n v="300"/>
    <s v="10%"/>
    <n v="1350"/>
    <n v="0.1"/>
  </r>
  <r>
    <n v="1924"/>
    <x v="43"/>
    <x v="897"/>
    <x v="3"/>
    <x v="10"/>
    <x v="1"/>
    <n v="3"/>
    <n v="2500"/>
    <s v="0%"/>
    <n v="7500"/>
    <n v="0"/>
  </r>
  <r>
    <n v="1925"/>
    <x v="339"/>
    <x v="898"/>
    <x v="1"/>
    <x v="6"/>
    <x v="2"/>
    <n v="9"/>
    <n v="2500"/>
    <s v="0%"/>
    <n v="22500"/>
    <n v="0"/>
  </r>
  <r>
    <n v="1926"/>
    <x v="155"/>
    <x v="899"/>
    <x v="2"/>
    <x v="9"/>
    <x v="1"/>
    <n v="7"/>
    <n v="1500"/>
    <s v="10%"/>
    <n v="9450"/>
    <n v="0.1"/>
  </r>
  <r>
    <n v="1927"/>
    <x v="87"/>
    <x v="900"/>
    <x v="3"/>
    <x v="13"/>
    <x v="0"/>
    <n v="4"/>
    <n v="1000"/>
    <s v="5%"/>
    <n v="3800"/>
    <n v="0.05"/>
  </r>
  <r>
    <n v="1928"/>
    <x v="287"/>
    <x v="901"/>
    <x v="1"/>
    <x v="9"/>
    <x v="1"/>
    <n v="10"/>
    <n v="4500"/>
    <s v="5%"/>
    <n v="42750"/>
    <n v="0.05"/>
  </r>
  <r>
    <n v="1929"/>
    <x v="340"/>
    <x v="902"/>
    <x v="2"/>
    <x v="9"/>
    <x v="1"/>
    <n v="7"/>
    <n v="1500"/>
    <s v="15%"/>
    <n v="8925"/>
    <n v="0.15"/>
  </r>
  <r>
    <n v="1930"/>
    <x v="292"/>
    <x v="903"/>
    <x v="2"/>
    <x v="14"/>
    <x v="2"/>
    <n v="8"/>
    <n v="1000"/>
    <s v="20%"/>
    <n v="6400"/>
    <n v="0.2"/>
  </r>
  <r>
    <n v="1931"/>
    <x v="157"/>
    <x v="904"/>
    <x v="2"/>
    <x v="8"/>
    <x v="1"/>
    <n v="4"/>
    <n v="4500"/>
    <s v="5%"/>
    <n v="17100"/>
    <n v="0.05"/>
  </r>
  <r>
    <n v="1932"/>
    <x v="303"/>
    <x v="905"/>
    <x v="1"/>
    <x v="3"/>
    <x v="1"/>
    <n v="5"/>
    <n v="250"/>
    <s v="5%"/>
    <n v="1187.5"/>
    <n v="0.05"/>
  </r>
  <r>
    <n v="1933"/>
    <x v="170"/>
    <x v="906"/>
    <x v="2"/>
    <x v="2"/>
    <x v="1"/>
    <n v="9"/>
    <n v="1500"/>
    <s v="15%"/>
    <n v="11475"/>
    <n v="0.15"/>
  </r>
  <r>
    <n v="1934"/>
    <x v="224"/>
    <x v="907"/>
    <x v="2"/>
    <x v="11"/>
    <x v="2"/>
    <n v="7"/>
    <n v="100"/>
    <s v="5%"/>
    <n v="665"/>
    <n v="0.05"/>
  </r>
  <r>
    <n v="1935"/>
    <x v="247"/>
    <x v="908"/>
    <x v="0"/>
    <x v="3"/>
    <x v="1"/>
    <n v="9"/>
    <n v="250"/>
    <s v="10%"/>
    <n v="2025"/>
    <n v="0.1"/>
  </r>
  <r>
    <n v="1936"/>
    <x v="102"/>
    <x v="909"/>
    <x v="3"/>
    <x v="3"/>
    <x v="1"/>
    <n v="4"/>
    <n v="1500"/>
    <s v="10%"/>
    <n v="5400"/>
    <n v="0.1"/>
  </r>
  <r>
    <n v="1937"/>
    <x v="313"/>
    <x v="910"/>
    <x v="3"/>
    <x v="9"/>
    <x v="1"/>
    <n v="3"/>
    <n v="1000"/>
    <s v="0%"/>
    <n v="3000"/>
    <n v="0"/>
  </r>
  <r>
    <n v="1938"/>
    <x v="209"/>
    <x v="911"/>
    <x v="0"/>
    <x v="7"/>
    <x v="2"/>
    <n v="1"/>
    <n v="4500"/>
    <s v="20%"/>
    <n v="3600"/>
    <n v="0.2"/>
  </r>
  <r>
    <n v="1939"/>
    <x v="205"/>
    <x v="912"/>
    <x v="3"/>
    <x v="2"/>
    <x v="1"/>
    <n v="4"/>
    <n v="4500"/>
    <s v="15%"/>
    <n v="15300"/>
    <n v="0.15"/>
  </r>
  <r>
    <n v="1940"/>
    <x v="62"/>
    <x v="913"/>
    <x v="1"/>
    <x v="12"/>
    <x v="0"/>
    <n v="4"/>
    <n v="4500"/>
    <s v="15%"/>
    <n v="15300"/>
    <n v="0.15"/>
  </r>
  <r>
    <n v="1941"/>
    <x v="255"/>
    <x v="914"/>
    <x v="0"/>
    <x v="0"/>
    <x v="0"/>
    <n v="8"/>
    <n v="1500"/>
    <s v="10%"/>
    <n v="10800"/>
    <n v="0.1"/>
  </r>
  <r>
    <n v="1942"/>
    <x v="181"/>
    <x v="915"/>
    <x v="1"/>
    <x v="13"/>
    <x v="0"/>
    <n v="5"/>
    <n v="1500"/>
    <s v="20%"/>
    <n v="6000"/>
    <n v="0.2"/>
  </r>
  <r>
    <n v="1943"/>
    <x v="163"/>
    <x v="916"/>
    <x v="0"/>
    <x v="7"/>
    <x v="2"/>
    <n v="10"/>
    <n v="2500"/>
    <s v="15%"/>
    <n v="21250"/>
    <n v="0.15"/>
  </r>
  <r>
    <n v="1944"/>
    <x v="341"/>
    <x v="917"/>
    <x v="1"/>
    <x v="5"/>
    <x v="2"/>
    <n v="6"/>
    <n v="4500"/>
    <s v="10%"/>
    <n v="24300"/>
    <n v="0.1"/>
  </r>
  <r>
    <n v="1945"/>
    <x v="35"/>
    <x v="918"/>
    <x v="0"/>
    <x v="13"/>
    <x v="0"/>
    <n v="8"/>
    <n v="100"/>
    <s v="5%"/>
    <n v="760"/>
    <n v="0.05"/>
  </r>
  <r>
    <n v="1946"/>
    <x v="139"/>
    <x v="19"/>
    <x v="1"/>
    <x v="3"/>
    <x v="1"/>
    <n v="9"/>
    <n v="250"/>
    <s v="15%"/>
    <n v="1912.5"/>
    <n v="0.15"/>
  </r>
  <r>
    <n v="1947"/>
    <x v="280"/>
    <x v="919"/>
    <x v="2"/>
    <x v="14"/>
    <x v="2"/>
    <n v="3"/>
    <n v="250"/>
    <s v="5%"/>
    <n v="712.5"/>
    <n v="0.05"/>
  </r>
  <r>
    <n v="1948"/>
    <x v="184"/>
    <x v="920"/>
    <x v="2"/>
    <x v="8"/>
    <x v="1"/>
    <n v="4"/>
    <n v="1000"/>
    <s v="15%"/>
    <n v="3400"/>
    <n v="0.15"/>
  </r>
  <r>
    <n v="1949"/>
    <x v="266"/>
    <x v="921"/>
    <x v="1"/>
    <x v="9"/>
    <x v="1"/>
    <n v="8"/>
    <n v="1000"/>
    <s v="5%"/>
    <n v="7600"/>
    <n v="0.05"/>
  </r>
  <r>
    <n v="1950"/>
    <x v="225"/>
    <x v="922"/>
    <x v="2"/>
    <x v="1"/>
    <x v="0"/>
    <n v="9"/>
    <n v="1500"/>
    <s v="20%"/>
    <n v="10800"/>
    <n v="0.2"/>
  </r>
  <r>
    <n v="1951"/>
    <x v="153"/>
    <x v="923"/>
    <x v="0"/>
    <x v="14"/>
    <x v="2"/>
    <n v="6"/>
    <n v="1000"/>
    <s v="15%"/>
    <n v="5100"/>
    <n v="0.15"/>
  </r>
  <r>
    <n v="1952"/>
    <x v="33"/>
    <x v="924"/>
    <x v="1"/>
    <x v="14"/>
    <x v="2"/>
    <n v="7"/>
    <n v="300"/>
    <s v="20%"/>
    <n v="1680"/>
    <n v="0.2"/>
  </r>
  <r>
    <n v="1953"/>
    <x v="190"/>
    <x v="925"/>
    <x v="0"/>
    <x v="3"/>
    <x v="1"/>
    <n v="9"/>
    <n v="1000"/>
    <s v="0%"/>
    <n v="9000"/>
    <n v="0"/>
  </r>
  <r>
    <n v="1954"/>
    <x v="30"/>
    <x v="926"/>
    <x v="3"/>
    <x v="3"/>
    <x v="1"/>
    <n v="2"/>
    <n v="250"/>
    <s v="20%"/>
    <n v="400"/>
    <n v="0.2"/>
  </r>
  <r>
    <n v="1955"/>
    <x v="77"/>
    <x v="927"/>
    <x v="2"/>
    <x v="2"/>
    <x v="1"/>
    <n v="1"/>
    <n v="250"/>
    <s v="15%"/>
    <n v="212.5"/>
    <n v="0.15"/>
  </r>
  <r>
    <n v="1956"/>
    <x v="319"/>
    <x v="928"/>
    <x v="3"/>
    <x v="10"/>
    <x v="1"/>
    <n v="5"/>
    <n v="250"/>
    <s v="5%"/>
    <n v="1187.5"/>
    <n v="0.05"/>
  </r>
  <r>
    <n v="1957"/>
    <x v="89"/>
    <x v="929"/>
    <x v="2"/>
    <x v="9"/>
    <x v="1"/>
    <n v="4"/>
    <n v="4500"/>
    <s v="5%"/>
    <n v="17100"/>
    <n v="0.05"/>
  </r>
  <r>
    <n v="1958"/>
    <x v="201"/>
    <x v="930"/>
    <x v="1"/>
    <x v="9"/>
    <x v="1"/>
    <n v="2"/>
    <n v="300"/>
    <s v="10%"/>
    <n v="540"/>
    <n v="0.1"/>
  </r>
  <r>
    <n v="1959"/>
    <x v="295"/>
    <x v="931"/>
    <x v="0"/>
    <x v="3"/>
    <x v="1"/>
    <n v="3"/>
    <n v="4500"/>
    <s v="10%"/>
    <n v="12150"/>
    <n v="0.1"/>
  </r>
  <r>
    <n v="1960"/>
    <x v="222"/>
    <x v="932"/>
    <x v="3"/>
    <x v="2"/>
    <x v="1"/>
    <n v="1"/>
    <n v="250"/>
    <s v="15%"/>
    <n v="212.5"/>
    <n v="0.15"/>
  </r>
  <r>
    <n v="1961"/>
    <x v="183"/>
    <x v="933"/>
    <x v="0"/>
    <x v="6"/>
    <x v="2"/>
    <n v="4"/>
    <n v="1500"/>
    <s v="5%"/>
    <n v="5700"/>
    <n v="0.05"/>
  </r>
  <r>
    <n v="1962"/>
    <x v="288"/>
    <x v="934"/>
    <x v="0"/>
    <x v="6"/>
    <x v="2"/>
    <n v="2"/>
    <n v="500"/>
    <s v="0%"/>
    <n v="1000"/>
    <n v="0"/>
  </r>
  <r>
    <n v="1963"/>
    <x v="58"/>
    <x v="935"/>
    <x v="0"/>
    <x v="11"/>
    <x v="2"/>
    <n v="9"/>
    <n v="500"/>
    <s v="20%"/>
    <n v="3600"/>
    <n v="0.2"/>
  </r>
  <r>
    <n v="1964"/>
    <x v="130"/>
    <x v="936"/>
    <x v="4"/>
    <x v="8"/>
    <x v="1"/>
    <n v="2"/>
    <n v="1500"/>
    <s v="10%"/>
    <n v="2700"/>
    <n v="0.1"/>
  </r>
  <r>
    <n v="1965"/>
    <x v="204"/>
    <x v="937"/>
    <x v="3"/>
    <x v="2"/>
    <x v="1"/>
    <n v="4"/>
    <n v="250"/>
    <s v="10%"/>
    <n v="900"/>
    <n v="0.1"/>
  </r>
  <r>
    <n v="1966"/>
    <x v="295"/>
    <x v="938"/>
    <x v="1"/>
    <x v="12"/>
    <x v="0"/>
    <n v="2"/>
    <n v="300"/>
    <s v="10%"/>
    <n v="540"/>
    <n v="0.1"/>
  </r>
  <r>
    <n v="1967"/>
    <x v="282"/>
    <x v="19"/>
    <x v="2"/>
    <x v="1"/>
    <x v="0"/>
    <n v="6"/>
    <n v="300"/>
    <s v="10%"/>
    <n v="1620"/>
    <n v="0.1"/>
  </r>
  <r>
    <n v="1968"/>
    <x v="96"/>
    <x v="939"/>
    <x v="1"/>
    <x v="14"/>
    <x v="2"/>
    <n v="9"/>
    <n v="500"/>
    <s v="20%"/>
    <n v="3600"/>
    <n v="0.2"/>
  </r>
  <r>
    <n v="1969"/>
    <x v="342"/>
    <x v="940"/>
    <x v="1"/>
    <x v="6"/>
    <x v="2"/>
    <n v="7"/>
    <n v="500"/>
    <s v="20%"/>
    <n v="2800"/>
    <n v="0.2"/>
  </r>
  <r>
    <n v="1970"/>
    <x v="40"/>
    <x v="941"/>
    <x v="2"/>
    <x v="2"/>
    <x v="1"/>
    <n v="4"/>
    <n v="100"/>
    <s v="5%"/>
    <n v="380"/>
    <n v="0.05"/>
  </r>
  <r>
    <n v="1971"/>
    <x v="98"/>
    <x v="706"/>
    <x v="1"/>
    <x v="0"/>
    <x v="0"/>
    <n v="9"/>
    <n v="2500"/>
    <s v="10%"/>
    <n v="20250"/>
    <n v="0.1"/>
  </r>
  <r>
    <n v="1972"/>
    <x v="343"/>
    <x v="942"/>
    <x v="2"/>
    <x v="9"/>
    <x v="1"/>
    <n v="1"/>
    <n v="500"/>
    <s v="5%"/>
    <n v="475"/>
    <n v="0.05"/>
  </r>
  <r>
    <n v="1973"/>
    <x v="344"/>
    <x v="943"/>
    <x v="0"/>
    <x v="2"/>
    <x v="1"/>
    <n v="2"/>
    <n v="500"/>
    <s v="0%"/>
    <n v="1000"/>
    <n v="0"/>
  </r>
  <r>
    <n v="1974"/>
    <x v="116"/>
    <x v="944"/>
    <x v="2"/>
    <x v="1"/>
    <x v="0"/>
    <n v="4"/>
    <n v="250"/>
    <s v="15%"/>
    <n v="850"/>
    <n v="0.15"/>
  </r>
  <r>
    <n v="1975"/>
    <x v="266"/>
    <x v="945"/>
    <x v="2"/>
    <x v="9"/>
    <x v="1"/>
    <n v="4"/>
    <n v="1000"/>
    <s v="10%"/>
    <n v="3600"/>
    <n v="0.1"/>
  </r>
  <r>
    <n v="1976"/>
    <x v="265"/>
    <x v="946"/>
    <x v="0"/>
    <x v="5"/>
    <x v="2"/>
    <n v="6"/>
    <n v="2500"/>
    <s v="15%"/>
    <n v="12750"/>
    <n v="0.15"/>
  </r>
  <r>
    <n v="1977"/>
    <x v="164"/>
    <x v="947"/>
    <x v="2"/>
    <x v="6"/>
    <x v="2"/>
    <n v="8"/>
    <n v="100"/>
    <s v="15%"/>
    <n v="680"/>
    <n v="0.15"/>
  </r>
  <r>
    <n v="1978"/>
    <x v="9"/>
    <x v="948"/>
    <x v="2"/>
    <x v="13"/>
    <x v="0"/>
    <n v="3"/>
    <n v="300"/>
    <s v="10%"/>
    <n v="810"/>
    <n v="0.1"/>
  </r>
  <r>
    <n v="1979"/>
    <x v="180"/>
    <x v="949"/>
    <x v="2"/>
    <x v="12"/>
    <x v="0"/>
    <n v="2"/>
    <n v="1354.67"/>
    <s v="5%"/>
    <n v="2573.873"/>
    <n v="0.05"/>
  </r>
  <r>
    <n v="1980"/>
    <x v="279"/>
    <x v="950"/>
    <x v="2"/>
    <x v="4"/>
    <x v="0"/>
    <n v="8"/>
    <n v="2500"/>
    <s v="15%"/>
    <n v="17000"/>
    <n v="0.15"/>
  </r>
  <r>
    <n v="1981"/>
    <x v="164"/>
    <x v="951"/>
    <x v="1"/>
    <x v="13"/>
    <x v="0"/>
    <n v="2"/>
    <n v="2500"/>
    <s v="0%"/>
    <n v="5000"/>
    <n v="0"/>
  </r>
  <r>
    <n v="1982"/>
    <x v="98"/>
    <x v="952"/>
    <x v="1"/>
    <x v="11"/>
    <x v="2"/>
    <n v="6"/>
    <n v="4500"/>
    <s v="10%"/>
    <n v="24300"/>
    <n v="0.1"/>
  </r>
  <r>
    <n v="1983"/>
    <x v="96"/>
    <x v="953"/>
    <x v="0"/>
    <x v="2"/>
    <x v="1"/>
    <n v="1"/>
    <n v="1500"/>
    <s v="0%"/>
    <n v="1500"/>
    <n v="0"/>
  </r>
  <r>
    <n v="1984"/>
    <x v="141"/>
    <x v="954"/>
    <x v="1"/>
    <x v="6"/>
    <x v="2"/>
    <n v="10"/>
    <n v="300"/>
    <s v="0%"/>
    <n v="3000"/>
    <n v="0"/>
  </r>
  <r>
    <n v="1985"/>
    <x v="342"/>
    <x v="955"/>
    <x v="0"/>
    <x v="7"/>
    <x v="2"/>
    <n v="2"/>
    <n v="500"/>
    <s v="15%"/>
    <n v="850"/>
    <n v="0.15"/>
  </r>
  <r>
    <n v="1986"/>
    <x v="64"/>
    <x v="956"/>
    <x v="1"/>
    <x v="12"/>
    <x v="0"/>
    <n v="10"/>
    <n v="1000"/>
    <s v="15%"/>
    <n v="8500"/>
    <n v="0.15"/>
  </r>
  <r>
    <n v="1987"/>
    <x v="55"/>
    <x v="957"/>
    <x v="1"/>
    <x v="3"/>
    <x v="1"/>
    <n v="4"/>
    <n v="1354.67"/>
    <s v="10%"/>
    <n v="4876.8120000000008"/>
    <n v="0.1"/>
  </r>
  <r>
    <n v="1988"/>
    <x v="147"/>
    <x v="958"/>
    <x v="2"/>
    <x v="2"/>
    <x v="1"/>
    <n v="9"/>
    <n v="2500"/>
    <s v="10%"/>
    <n v="20250"/>
    <n v="0.1"/>
  </r>
  <r>
    <n v="1989"/>
    <x v="345"/>
    <x v="959"/>
    <x v="0"/>
    <x v="2"/>
    <x v="1"/>
    <n v="3"/>
    <n v="250"/>
    <s v="15%"/>
    <n v="637.5"/>
    <n v="0.15"/>
  </r>
  <r>
    <n v="1990"/>
    <x v="346"/>
    <x v="960"/>
    <x v="1"/>
    <x v="3"/>
    <x v="1"/>
    <n v="7"/>
    <n v="4500"/>
    <s v="20%"/>
    <n v="25200"/>
    <n v="0.2"/>
  </r>
  <r>
    <n v="1991"/>
    <x v="41"/>
    <x v="961"/>
    <x v="1"/>
    <x v="5"/>
    <x v="2"/>
    <n v="5"/>
    <n v="250"/>
    <s v="10%"/>
    <n v="1125"/>
    <n v="0.1"/>
  </r>
  <r>
    <n v="1992"/>
    <x v="128"/>
    <x v="962"/>
    <x v="1"/>
    <x v="10"/>
    <x v="1"/>
    <n v="1"/>
    <n v="1354.67"/>
    <s v="0%"/>
    <n v="1354.67"/>
    <n v="0"/>
  </r>
  <r>
    <n v="1993"/>
    <x v="305"/>
    <x v="963"/>
    <x v="3"/>
    <x v="13"/>
    <x v="0"/>
    <n v="5"/>
    <n v="4500"/>
    <s v="15%"/>
    <n v="19125"/>
    <n v="0.15"/>
  </r>
  <r>
    <n v="1994"/>
    <x v="324"/>
    <x v="964"/>
    <x v="2"/>
    <x v="11"/>
    <x v="2"/>
    <n v="4"/>
    <n v="1500"/>
    <s v="15%"/>
    <n v="5100"/>
    <n v="0.15"/>
  </r>
  <r>
    <n v="1995"/>
    <x v="303"/>
    <x v="965"/>
    <x v="1"/>
    <x v="10"/>
    <x v="1"/>
    <n v="8"/>
    <n v="2500"/>
    <s v="5%"/>
    <n v="19000"/>
    <n v="0.05"/>
  </r>
  <r>
    <n v="1996"/>
    <x v="305"/>
    <x v="966"/>
    <x v="2"/>
    <x v="1"/>
    <x v="0"/>
    <n v="6"/>
    <n v="1354.67"/>
    <s v="20%"/>
    <n v="6502.4160000000011"/>
    <n v="0.2"/>
  </r>
  <r>
    <n v="1997"/>
    <x v="51"/>
    <x v="967"/>
    <x v="3"/>
    <x v="4"/>
    <x v="0"/>
    <n v="1"/>
    <n v="1500"/>
    <s v="0%"/>
    <n v="1500"/>
    <n v="0"/>
  </r>
  <r>
    <n v="1998"/>
    <x v="294"/>
    <x v="698"/>
    <x v="2"/>
    <x v="13"/>
    <x v="0"/>
    <n v="2"/>
    <n v="1500"/>
    <s v="15%"/>
    <n v="2550"/>
    <n v="0.15"/>
  </r>
  <r>
    <n v="1999"/>
    <x v="160"/>
    <x v="968"/>
    <x v="1"/>
    <x v="12"/>
    <x v="0"/>
    <n v="5"/>
    <n v="500"/>
    <s v="5%"/>
    <n v="2375"/>
    <n v="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0ADF4-51C7-45BE-9597-2E45384A76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7:B21" firstHeaderRow="1" firstDataRow="1" firstDataCol="1"/>
  <pivotFields count="14">
    <pivotField showAll="0"/>
    <pivotField numFmtId="16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pivotField showAll="0">
      <items count="6">
        <item x="3"/>
        <item x="1"/>
        <item x="0"/>
        <item x="2"/>
        <item x="4"/>
        <item t="default"/>
      </items>
    </pivotField>
    <pivotField showAll="0"/>
    <pivotField axis="axisRow"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Total" fld="9" baseField="0" baseItem="0" numFmtId="3"/>
  </dataFields>
  <chartFormats count="2">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8E559-481B-466C-8ED1-597DCC4C9F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J5:K18" firstHeaderRow="1" firstDataRow="1" firstDataCol="1"/>
  <pivotFields count="14">
    <pivotField showAll="0"/>
    <pivotField axis="axisRow" numFmtId="16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pivotField showAll="0">
      <items count="6">
        <item x="3"/>
        <item x="1"/>
        <item x="0"/>
        <item x="2"/>
        <item x="4"/>
        <item t="default"/>
      </items>
    </pivotField>
    <pivotField showAll="0"/>
    <pivotField showAll="0">
      <items count="4">
        <item x="0"/>
        <item x="2"/>
        <item x="1"/>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Sum of Total" fld="9"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CFD24-C64B-44DA-A0E4-7BB992995C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5:E11" firstHeaderRow="1" firstDataRow="1" firstDataCol="1"/>
  <pivotFields count="14">
    <pivotField showAll="0"/>
    <pivotField numFmtId="16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1"/>
    </i>
    <i>
      <x v="3"/>
    </i>
    <i>
      <x v="2"/>
    </i>
    <i>
      <x/>
    </i>
    <i>
      <x v="4"/>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F6FEC-B3E7-4438-A135-8524A855F5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9:B15" firstHeaderRow="1" firstDataRow="1" firstDataCol="1"/>
  <pivotFields count="14">
    <pivotField showAll="0"/>
    <pivotField numFmtId="16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pivotField showAll="0">
      <items count="6">
        <item x="3"/>
        <item x="1"/>
        <item x="0"/>
        <item x="2"/>
        <item x="4"/>
        <item t="default"/>
      </items>
    </pivotField>
    <pivotField axis="axisRow" showAll="0" measureFilter="1" sortType="descending">
      <items count="16">
        <item x="8"/>
        <item x="4"/>
        <item x="13"/>
        <item x="9"/>
        <item x="3"/>
        <item x="2"/>
        <item x="12"/>
        <item x="14"/>
        <item x="5"/>
        <item x="7"/>
        <item x="11"/>
        <item x="0"/>
        <item x="10"/>
        <item x="1"/>
        <item x="6"/>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10"/>
    </i>
    <i>
      <x v="6"/>
    </i>
    <i>
      <x/>
    </i>
    <i>
      <x v="4"/>
    </i>
    <i>
      <x v="14"/>
    </i>
    <i t="grand">
      <x/>
    </i>
  </rowItems>
  <colItems count="1">
    <i/>
  </colItems>
  <dataFields count="1">
    <dataField name="Sum of Total" fld="9"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8084BC-D9D2-4EB2-ABFC-ECBC0A5BBE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5:H9" firstHeaderRow="1" firstDataRow="1" firstDataCol="1"/>
  <pivotFields count="14">
    <pivotField showAll="0"/>
    <pivotField numFmtId="16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pivotField showAll="0">
      <items count="6">
        <item x="3"/>
        <item x="1"/>
        <item x="0"/>
        <item x="2"/>
        <item x="4"/>
        <item t="default"/>
      </items>
    </pivotField>
    <pivotField showAll="0"/>
    <pivotField axis="axisRow" showAll="0">
      <items count="4">
        <item x="0"/>
        <item x="2"/>
        <item x="1"/>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Quantity" fld="6" baseField="0" baseItem="0"/>
  </dataFields>
  <chartFormats count="18">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5" count="1" selected="0">
            <x v="0"/>
          </reference>
        </references>
      </pivotArea>
    </chartFormat>
    <chartFormat chart="13" format="7">
      <pivotArea type="data" outline="0" fieldPosition="0">
        <references count="2">
          <reference field="4294967294" count="1" selected="0">
            <x v="0"/>
          </reference>
          <reference field="5" count="1" selected="0">
            <x v="1"/>
          </reference>
        </references>
      </pivotArea>
    </chartFormat>
    <chartFormat chart="13" format="8">
      <pivotArea type="data" outline="0" fieldPosition="0">
        <references count="2">
          <reference field="4294967294" count="1" selected="0">
            <x v="0"/>
          </reference>
          <reference field="5" count="1" selected="0">
            <x v="2"/>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5" count="1" selected="0">
            <x v="0"/>
          </reference>
        </references>
      </pivotArea>
    </chartFormat>
    <chartFormat chart="11" format="1">
      <pivotArea type="data" outline="0" fieldPosition="0">
        <references count="2">
          <reference field="4294967294" count="1" selected="0">
            <x v="0"/>
          </reference>
          <reference field="5" count="1" selected="0">
            <x v="0"/>
          </reference>
        </references>
      </pivotArea>
    </chartFormat>
    <chartFormat chart="11" format="2">
      <pivotArea type="data" outline="0" fieldPosition="0">
        <references count="2">
          <reference field="4294967294" count="1" selected="0">
            <x v="0"/>
          </reference>
          <reference field="5" count="1" selected="0">
            <x v="1"/>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5" count="1" selected="0">
            <x v="0"/>
          </reference>
        </references>
      </pivotArea>
    </chartFormat>
    <chartFormat chart="24" format="6">
      <pivotArea type="data" outline="0" fieldPosition="0">
        <references count="2">
          <reference field="4294967294" count="1" selected="0">
            <x v="0"/>
          </reference>
          <reference field="5" count="1" selected="0">
            <x v="1"/>
          </reference>
        </references>
      </pivotArea>
    </chartFormat>
    <chartFormat chart="24" format="7">
      <pivotArea type="data" outline="0" fieldPosition="0">
        <references count="2">
          <reference field="4294967294" count="1" selected="0">
            <x v="0"/>
          </reference>
          <reference field="5"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5"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B93472-0547-43A3-8345-9A8AECF4C93D}" sourceName="Category">
  <pivotTables>
    <pivotTable tabId="2" name="PivotTable4"/>
    <pivotTable tabId="2" name="PivotTable1"/>
    <pivotTable tabId="2" name="PivotTable2"/>
    <pivotTable tabId="2" name="PivotTable3"/>
    <pivotTable tabId="2" name="PivotTable8"/>
  </pivotTables>
  <data>
    <tabular pivotCacheId="181886529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0CFC63C-4EF2-4B7E-A86D-BBD996CFE600}" sourceName="Months (Date)">
  <pivotTables>
    <pivotTable tabId="2" name="PivotTable4"/>
  </pivotTables>
  <data>
    <tabular pivotCacheId="181886529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1EF237-E8E3-455F-9D36-74FF1FD9689B}" sourceName="Region">
  <pivotTables>
    <pivotTable tabId="2" name="PivotTable8"/>
    <pivotTable tabId="2" name="PivotTable1"/>
    <pivotTable tabId="2" name="PivotTable2"/>
    <pivotTable tabId="2" name="PivotTable3"/>
    <pivotTable tabId="2" name="PivotTable4"/>
  </pivotTables>
  <data>
    <tabular pivotCacheId="1818865291">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553EB1-C632-4AE4-B7CE-84E6BF3AB293}" cache="Slicer_Category" caption="Category" rowHeight="241300"/>
  <slicer name="Months " xr10:uid="{BBBA3CFE-89F7-4281-97FF-AE5CFA3F8981}" cache="Slicer_Months__Date" caption="Months (Date)" columnCount="2" rowHeight="241300"/>
  <slicer name="Region" xr10:uid="{295F0204-05A3-4209-BB5F-03B88FA51F7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422AE-AE11-44F8-A68D-89734C17B9EB}" name="Table1" displayName="Table1" ref="A1:K1001" totalsRowShown="0" headerRowDxfId="10" headerRowBorderDxfId="9" tableBorderDxfId="8">
  <autoFilter ref="A1:K1001" xr:uid="{29C422AE-AE11-44F8-A68D-89734C17B9EB}"/>
  <tableColumns count="11">
    <tableColumn id="1" xr3:uid="{F9E3EC3C-5F58-43C5-B608-A711B29DEEC9}" name="Order ID"/>
    <tableColumn id="2" xr3:uid="{939D5ECF-525A-4ADB-8507-7C4843DF8F1B}" name="Date" dataDxfId="7"/>
    <tableColumn id="3" xr3:uid="{6FBF50E2-F3CA-41FA-909A-78D98597E6CD}" name="Customer Name"/>
    <tableColumn id="4" xr3:uid="{F9A9ABA8-362C-4F05-ADE2-917B9C0F86E5}" name="Region"/>
    <tableColumn id="5" xr3:uid="{89984F41-A54F-4C72-8A4F-F096920B372A}" name="Product"/>
    <tableColumn id="6" xr3:uid="{6707EC5A-8FBB-425B-9368-CBF8EC53E5F9}" name="Category"/>
    <tableColumn id="7" xr3:uid="{26A4C0B9-358C-4203-B504-FF5423FEBD26}" name="Quantity"/>
    <tableColumn id="8" xr3:uid="{CB5AE037-6B51-4609-8F05-76729DE23617}" name="Price"/>
    <tableColumn id="9" xr3:uid="{9F941D07-026B-44F9-A7E7-1B3B57694CF7}" name="Discount"/>
    <tableColumn id="10" xr3:uid="{A3D1D14F-1E95-4A37-800E-44A0DA118C63}" name="Total">
      <calculatedColumnFormula>Table1[[#This Row],[Quantity]]*Table1[[#This Row],[Price]]*(1-Table1[[#This Row],[Discount]])</calculatedColumnFormula>
    </tableColumn>
    <tableColumn id="16" xr3:uid="{38434FFD-1087-4B16-8E5C-6A5CF8CD117B}" name="disc%" dataDxfId="6">
      <calculatedColumnFormula>VALUE(SUBSTITUTE(Table1[[#This Row],[Discount]],"%",""))/100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O12" sqref="O12"/>
    </sheetView>
  </sheetViews>
  <sheetFormatPr defaultRowHeight="14.5" x14ac:dyDescent="0.35"/>
  <cols>
    <col min="1" max="1" width="10" customWidth="1"/>
    <col min="2" max="2" width="12.1796875" customWidth="1"/>
    <col min="3" max="3" width="20.6328125" customWidth="1"/>
    <col min="4" max="4" width="13.26953125" customWidth="1"/>
    <col min="5" max="5" width="17.81640625" customWidth="1"/>
    <col min="6" max="6" width="10.26953125" customWidth="1"/>
    <col min="7" max="7" width="10.1796875" customWidth="1"/>
    <col min="9" max="9" width="10.1796875" customWidth="1"/>
    <col min="12" max="12" width="11.7265625" customWidth="1"/>
    <col min="14" max="14" width="13.54296875" customWidth="1"/>
  </cols>
  <sheetData>
    <row r="1" spans="1:11" x14ac:dyDescent="0.35">
      <c r="A1" s="2" t="s">
        <v>0</v>
      </c>
      <c r="B1" s="2" t="s">
        <v>1</v>
      </c>
      <c r="C1" s="2" t="s">
        <v>2</v>
      </c>
      <c r="D1" s="2" t="s">
        <v>3</v>
      </c>
      <c r="E1" s="2" t="s">
        <v>4</v>
      </c>
      <c r="F1" s="2" t="s">
        <v>5</v>
      </c>
      <c r="G1" s="2" t="s">
        <v>6</v>
      </c>
      <c r="H1" s="2" t="s">
        <v>7</v>
      </c>
      <c r="I1" s="2" t="s">
        <v>8</v>
      </c>
      <c r="J1" s="2" t="s">
        <v>9</v>
      </c>
      <c r="K1" s="2" t="s">
        <v>1006</v>
      </c>
    </row>
    <row r="2" spans="1:11" x14ac:dyDescent="0.35">
      <c r="A2">
        <v>1000</v>
      </c>
      <c r="B2" s="1">
        <v>45749</v>
      </c>
      <c r="C2" t="s">
        <v>10</v>
      </c>
      <c r="D2" t="s">
        <v>978</v>
      </c>
      <c r="E2" t="s">
        <v>982</v>
      </c>
      <c r="F2" t="s">
        <v>997</v>
      </c>
      <c r="G2">
        <v>1</v>
      </c>
      <c r="H2">
        <v>1000</v>
      </c>
      <c r="I2" t="s">
        <v>1000</v>
      </c>
      <c r="J2">
        <f>Table1[[#This Row],[Quantity]]*Table1[[#This Row],[Price]]*(1-Table1[[#This Row],[Discount]])</f>
        <v>950</v>
      </c>
      <c r="K2">
        <f>VALUE(SUBSTITUTE(Table1[[#This Row],[Discount]],"%",""))/100</f>
        <v>0.05</v>
      </c>
    </row>
    <row r="3" spans="1:11" x14ac:dyDescent="0.35">
      <c r="A3">
        <v>1001</v>
      </c>
      <c r="B3" s="1">
        <v>45555</v>
      </c>
      <c r="C3" t="s">
        <v>11</v>
      </c>
      <c r="D3" t="s">
        <v>979</v>
      </c>
      <c r="E3" t="s">
        <v>982</v>
      </c>
      <c r="F3" t="s">
        <v>997</v>
      </c>
      <c r="G3">
        <v>10</v>
      </c>
      <c r="H3">
        <v>2500</v>
      </c>
      <c r="I3" t="s">
        <v>1001</v>
      </c>
      <c r="J3">
        <f>Table1[[#This Row],[Quantity]]*Table1[[#This Row],[Price]]*(1-Table1[[#This Row],[Discount]])</f>
        <v>25000</v>
      </c>
      <c r="K3">
        <f>VALUE(SUBSTITUTE(Table1[[#This Row],[Discount]],"%",""))/100</f>
        <v>0</v>
      </c>
    </row>
    <row r="4" spans="1:11" x14ac:dyDescent="0.35">
      <c r="A4">
        <v>1002</v>
      </c>
      <c r="B4" s="1">
        <v>45534</v>
      </c>
      <c r="C4" t="s">
        <v>12</v>
      </c>
      <c r="D4" t="s">
        <v>980</v>
      </c>
      <c r="E4" t="s">
        <v>983</v>
      </c>
      <c r="F4" t="s">
        <v>997</v>
      </c>
      <c r="G4">
        <v>9</v>
      </c>
      <c r="H4">
        <v>1354.67</v>
      </c>
      <c r="I4" t="s">
        <v>1000</v>
      </c>
      <c r="J4">
        <f>Table1[[#This Row],[Quantity]]*Table1[[#This Row],[Price]]*(1-Table1[[#This Row],[Discount]])</f>
        <v>11582.4285</v>
      </c>
      <c r="K4">
        <f>VALUE(SUBSTITUTE(Table1[[#This Row],[Discount]],"%",""))/100</f>
        <v>0.05</v>
      </c>
    </row>
    <row r="5" spans="1:11" x14ac:dyDescent="0.35">
      <c r="A5">
        <v>1003</v>
      </c>
      <c r="B5" s="1">
        <v>45591</v>
      </c>
      <c r="C5" t="s">
        <v>13</v>
      </c>
      <c r="D5" t="s">
        <v>978</v>
      </c>
      <c r="E5" t="s">
        <v>984</v>
      </c>
      <c r="F5" t="s">
        <v>998</v>
      </c>
      <c r="G5">
        <v>6</v>
      </c>
      <c r="H5">
        <v>1000</v>
      </c>
      <c r="I5" t="s">
        <v>1000</v>
      </c>
      <c r="J5">
        <f>Table1[[#This Row],[Quantity]]*Table1[[#This Row],[Price]]*(1-Table1[[#This Row],[Discount]])</f>
        <v>5700</v>
      </c>
      <c r="K5">
        <f>VALUE(SUBSTITUTE(Table1[[#This Row],[Discount]],"%",""))/100</f>
        <v>0.05</v>
      </c>
    </row>
    <row r="6" spans="1:11" x14ac:dyDescent="0.35">
      <c r="A6">
        <v>1004</v>
      </c>
      <c r="B6" s="1">
        <v>45753</v>
      </c>
      <c r="C6" t="s">
        <v>14</v>
      </c>
      <c r="D6" t="s">
        <v>980</v>
      </c>
      <c r="E6" t="s">
        <v>985</v>
      </c>
      <c r="F6" t="s">
        <v>998</v>
      </c>
      <c r="G6">
        <v>6</v>
      </c>
      <c r="H6">
        <v>1000</v>
      </c>
      <c r="I6" t="s">
        <v>1001</v>
      </c>
      <c r="J6">
        <f>Table1[[#This Row],[Quantity]]*Table1[[#This Row],[Price]]*(1-Table1[[#This Row],[Discount]])</f>
        <v>6000</v>
      </c>
      <c r="K6">
        <f>VALUE(SUBSTITUTE(Table1[[#This Row],[Discount]],"%",""))/100</f>
        <v>0</v>
      </c>
    </row>
    <row r="7" spans="1:11" x14ac:dyDescent="0.35">
      <c r="A7">
        <v>1005</v>
      </c>
      <c r="B7" s="1">
        <v>45609</v>
      </c>
      <c r="C7" t="s">
        <v>15</v>
      </c>
      <c r="D7" t="s">
        <v>978</v>
      </c>
      <c r="E7" t="s">
        <v>986</v>
      </c>
      <c r="F7" t="s">
        <v>997</v>
      </c>
      <c r="G7">
        <v>10</v>
      </c>
      <c r="H7">
        <v>1500</v>
      </c>
      <c r="I7" t="s">
        <v>1002</v>
      </c>
      <c r="J7">
        <f>Table1[[#This Row],[Quantity]]*Table1[[#This Row],[Price]]*(1-Table1[[#This Row],[Discount]])</f>
        <v>12000</v>
      </c>
      <c r="K7">
        <f>VALUE(SUBSTITUTE(Table1[[#This Row],[Discount]],"%",""))/100</f>
        <v>0.2</v>
      </c>
    </row>
    <row r="8" spans="1:11" x14ac:dyDescent="0.35">
      <c r="A8">
        <v>1006</v>
      </c>
      <c r="B8" s="1">
        <v>45772</v>
      </c>
      <c r="C8" t="s">
        <v>16</v>
      </c>
      <c r="D8" t="s">
        <v>981</v>
      </c>
      <c r="E8" t="s">
        <v>987</v>
      </c>
      <c r="F8" t="s">
        <v>999</v>
      </c>
      <c r="G8">
        <v>4</v>
      </c>
      <c r="H8">
        <v>250</v>
      </c>
      <c r="I8" t="s">
        <v>1003</v>
      </c>
      <c r="J8">
        <f>Table1[[#This Row],[Quantity]]*Table1[[#This Row],[Price]]*(1-Table1[[#This Row],[Discount]])</f>
        <v>850</v>
      </c>
      <c r="K8">
        <f>VALUE(SUBSTITUTE(Table1[[#This Row],[Discount]],"%",""))/100</f>
        <v>0.15</v>
      </c>
    </row>
    <row r="9" spans="1:11" x14ac:dyDescent="0.35">
      <c r="A9">
        <v>1007</v>
      </c>
      <c r="B9" s="1">
        <v>45797</v>
      </c>
      <c r="C9" t="s">
        <v>17</v>
      </c>
      <c r="D9" t="s">
        <v>978</v>
      </c>
      <c r="E9" t="s">
        <v>988</v>
      </c>
      <c r="F9" t="s">
        <v>999</v>
      </c>
      <c r="G9">
        <v>5</v>
      </c>
      <c r="H9">
        <v>250</v>
      </c>
      <c r="I9" t="s">
        <v>1002</v>
      </c>
      <c r="J9">
        <f>Table1[[#This Row],[Quantity]]*Table1[[#This Row],[Price]]*(1-Table1[[#This Row],[Discount]])</f>
        <v>1000</v>
      </c>
      <c r="K9">
        <f>VALUE(SUBSTITUTE(Table1[[#This Row],[Discount]],"%",""))/100</f>
        <v>0.2</v>
      </c>
    </row>
    <row r="10" spans="1:11" x14ac:dyDescent="0.35">
      <c r="A10">
        <v>1008</v>
      </c>
      <c r="B10" s="1">
        <v>45830</v>
      </c>
      <c r="C10" t="s">
        <v>18</v>
      </c>
      <c r="D10" t="s">
        <v>978</v>
      </c>
      <c r="E10" t="s">
        <v>989</v>
      </c>
      <c r="F10" t="s">
        <v>999</v>
      </c>
      <c r="G10">
        <v>4</v>
      </c>
      <c r="H10">
        <v>1500</v>
      </c>
      <c r="I10" t="s">
        <v>1001</v>
      </c>
      <c r="J10">
        <f>Table1[[#This Row],[Quantity]]*Table1[[#This Row],[Price]]*(1-Table1[[#This Row],[Discount]])</f>
        <v>6000</v>
      </c>
      <c r="K10">
        <f>VALUE(SUBSTITUTE(Table1[[#This Row],[Discount]],"%",""))/100</f>
        <v>0</v>
      </c>
    </row>
    <row r="11" spans="1:11" x14ac:dyDescent="0.35">
      <c r="A11">
        <v>1009</v>
      </c>
      <c r="B11" s="1">
        <v>45679</v>
      </c>
      <c r="C11" t="s">
        <v>19</v>
      </c>
      <c r="D11" t="s">
        <v>980</v>
      </c>
      <c r="E11" t="s">
        <v>990</v>
      </c>
      <c r="F11" t="s">
        <v>998</v>
      </c>
      <c r="G11">
        <v>10</v>
      </c>
      <c r="H11">
        <v>1500</v>
      </c>
      <c r="I11" t="s">
        <v>1000</v>
      </c>
      <c r="J11">
        <f>Table1[[#This Row],[Quantity]]*Table1[[#This Row],[Price]]*(1-Table1[[#This Row],[Discount]])</f>
        <v>14250</v>
      </c>
      <c r="K11">
        <f>VALUE(SUBSTITUTE(Table1[[#This Row],[Discount]],"%",""))/100</f>
        <v>0.05</v>
      </c>
    </row>
    <row r="12" spans="1:11" x14ac:dyDescent="0.35">
      <c r="A12">
        <v>1010</v>
      </c>
      <c r="B12" s="1">
        <v>45715</v>
      </c>
      <c r="C12" t="s">
        <v>20</v>
      </c>
      <c r="D12" t="s">
        <v>980</v>
      </c>
      <c r="E12" t="s">
        <v>988</v>
      </c>
      <c r="F12" t="s">
        <v>999</v>
      </c>
      <c r="G12">
        <v>4</v>
      </c>
      <c r="H12">
        <v>1000</v>
      </c>
      <c r="I12" t="s">
        <v>1002</v>
      </c>
      <c r="J12">
        <f>Table1[[#This Row],[Quantity]]*Table1[[#This Row],[Price]]*(1-Table1[[#This Row],[Discount]])</f>
        <v>3200</v>
      </c>
      <c r="K12">
        <f>VALUE(SUBSTITUTE(Table1[[#This Row],[Discount]],"%",""))/100</f>
        <v>0.2</v>
      </c>
    </row>
    <row r="13" spans="1:11" x14ac:dyDescent="0.35">
      <c r="A13">
        <v>1011</v>
      </c>
      <c r="B13" s="1">
        <v>45641</v>
      </c>
      <c r="C13" t="s">
        <v>21</v>
      </c>
      <c r="D13" t="s">
        <v>979</v>
      </c>
      <c r="E13" t="s">
        <v>991</v>
      </c>
      <c r="F13" t="s">
        <v>998</v>
      </c>
      <c r="G13">
        <v>8</v>
      </c>
      <c r="H13">
        <v>250</v>
      </c>
      <c r="I13" t="s">
        <v>1001</v>
      </c>
      <c r="J13">
        <f>Table1[[#This Row],[Quantity]]*Table1[[#This Row],[Price]]*(1-Table1[[#This Row],[Discount]])</f>
        <v>2000</v>
      </c>
      <c r="K13">
        <f>VALUE(SUBSTITUTE(Table1[[#This Row],[Discount]],"%",""))/100</f>
        <v>0</v>
      </c>
    </row>
    <row r="14" spans="1:11" x14ac:dyDescent="0.35">
      <c r="A14">
        <v>1012</v>
      </c>
      <c r="B14" s="1">
        <v>45589</v>
      </c>
      <c r="C14" t="s">
        <v>22</v>
      </c>
      <c r="D14" t="s">
        <v>980</v>
      </c>
      <c r="E14" t="s">
        <v>982</v>
      </c>
      <c r="F14" t="s">
        <v>997</v>
      </c>
      <c r="G14">
        <v>7</v>
      </c>
      <c r="H14">
        <v>2500</v>
      </c>
      <c r="I14" t="s">
        <v>1002</v>
      </c>
      <c r="J14">
        <f>Table1[[#This Row],[Quantity]]*Table1[[#This Row],[Price]]*(1-Table1[[#This Row],[Discount]])</f>
        <v>14000</v>
      </c>
      <c r="K14">
        <f>VALUE(SUBSTITUTE(Table1[[#This Row],[Discount]],"%",""))/100</f>
        <v>0.2</v>
      </c>
    </row>
    <row r="15" spans="1:11" x14ac:dyDescent="0.35">
      <c r="A15">
        <v>1013</v>
      </c>
      <c r="B15" s="1">
        <v>45837</v>
      </c>
      <c r="C15" t="s">
        <v>23</v>
      </c>
      <c r="D15" t="s">
        <v>979</v>
      </c>
      <c r="E15" t="s">
        <v>992</v>
      </c>
      <c r="F15" t="s">
        <v>998</v>
      </c>
      <c r="G15">
        <v>9</v>
      </c>
      <c r="H15">
        <v>1354.67</v>
      </c>
      <c r="I15" t="s">
        <v>1004</v>
      </c>
      <c r="J15">
        <f>Table1[[#This Row],[Quantity]]*Table1[[#This Row],[Price]]*(1-Table1[[#This Row],[Discount]])</f>
        <v>10972.827000000001</v>
      </c>
      <c r="K15">
        <f>VALUE(SUBSTITUTE(Table1[[#This Row],[Discount]],"%",""))/100</f>
        <v>0.1</v>
      </c>
    </row>
    <row r="16" spans="1:11" x14ac:dyDescent="0.35">
      <c r="A16">
        <v>1014</v>
      </c>
      <c r="B16" s="1">
        <v>45642</v>
      </c>
      <c r="C16" t="s">
        <v>24</v>
      </c>
      <c r="D16" t="s">
        <v>979</v>
      </c>
      <c r="E16" t="s">
        <v>986</v>
      </c>
      <c r="F16" t="s">
        <v>997</v>
      </c>
      <c r="G16">
        <v>9</v>
      </c>
      <c r="H16">
        <v>300</v>
      </c>
      <c r="I16" t="s">
        <v>1002</v>
      </c>
      <c r="J16">
        <f>Table1[[#This Row],[Quantity]]*Table1[[#This Row],[Price]]*(1-Table1[[#This Row],[Discount]])</f>
        <v>2160</v>
      </c>
      <c r="K16">
        <f>VALUE(SUBSTITUTE(Table1[[#This Row],[Discount]],"%",""))/100</f>
        <v>0.2</v>
      </c>
    </row>
    <row r="17" spans="1:11" x14ac:dyDescent="0.35">
      <c r="A17">
        <v>1015</v>
      </c>
      <c r="B17" s="1">
        <v>45773</v>
      </c>
      <c r="C17" t="s">
        <v>25</v>
      </c>
      <c r="D17" t="s">
        <v>979</v>
      </c>
      <c r="E17" t="s">
        <v>983</v>
      </c>
      <c r="F17" t="s">
        <v>997</v>
      </c>
      <c r="G17">
        <v>3</v>
      </c>
      <c r="H17">
        <v>1500</v>
      </c>
      <c r="I17" t="s">
        <v>1000</v>
      </c>
      <c r="J17">
        <f>Table1[[#This Row],[Quantity]]*Table1[[#This Row],[Price]]*(1-Table1[[#This Row],[Discount]])</f>
        <v>4275</v>
      </c>
      <c r="K17">
        <f>VALUE(SUBSTITUTE(Table1[[#This Row],[Discount]],"%",""))/100</f>
        <v>0.05</v>
      </c>
    </row>
    <row r="18" spans="1:11" x14ac:dyDescent="0.35">
      <c r="A18">
        <v>1016</v>
      </c>
      <c r="B18" s="1">
        <v>45567</v>
      </c>
      <c r="C18" t="s">
        <v>26</v>
      </c>
      <c r="D18" t="s">
        <v>979</v>
      </c>
      <c r="E18" t="s">
        <v>993</v>
      </c>
      <c r="F18" t="s">
        <v>999</v>
      </c>
      <c r="G18">
        <v>4</v>
      </c>
      <c r="H18">
        <v>100</v>
      </c>
      <c r="I18" t="s">
        <v>1000</v>
      </c>
      <c r="J18">
        <f>Table1[[#This Row],[Quantity]]*Table1[[#This Row],[Price]]*(1-Table1[[#This Row],[Discount]])</f>
        <v>380</v>
      </c>
      <c r="K18">
        <f>VALUE(SUBSTITUTE(Table1[[#This Row],[Discount]],"%",""))/100</f>
        <v>0.05</v>
      </c>
    </row>
    <row r="19" spans="1:11" x14ac:dyDescent="0.35">
      <c r="A19">
        <v>1017</v>
      </c>
      <c r="B19" s="1">
        <v>45605</v>
      </c>
      <c r="C19" t="s">
        <v>27</v>
      </c>
      <c r="D19" t="s">
        <v>978</v>
      </c>
      <c r="E19" t="s">
        <v>983</v>
      </c>
      <c r="F19" t="s">
        <v>997</v>
      </c>
      <c r="G19">
        <v>3</v>
      </c>
      <c r="H19">
        <v>4500</v>
      </c>
      <c r="I19" t="s">
        <v>1002</v>
      </c>
      <c r="J19">
        <f>Table1[[#This Row],[Quantity]]*Table1[[#This Row],[Price]]*(1-Table1[[#This Row],[Discount]])</f>
        <v>10800</v>
      </c>
      <c r="K19">
        <f>VALUE(SUBSTITUTE(Table1[[#This Row],[Discount]],"%",""))/100</f>
        <v>0.2</v>
      </c>
    </row>
    <row r="20" spans="1:11" x14ac:dyDescent="0.35">
      <c r="A20">
        <v>1018</v>
      </c>
      <c r="B20" s="1">
        <v>45828</v>
      </c>
      <c r="C20" t="s">
        <v>28</v>
      </c>
      <c r="D20" t="s">
        <v>981</v>
      </c>
      <c r="E20" t="s">
        <v>991</v>
      </c>
      <c r="F20" t="s">
        <v>998</v>
      </c>
      <c r="G20">
        <v>4</v>
      </c>
      <c r="H20">
        <v>1000</v>
      </c>
      <c r="I20" t="s">
        <v>1003</v>
      </c>
      <c r="J20">
        <f>Table1[[#This Row],[Quantity]]*Table1[[#This Row],[Price]]*(1-Table1[[#This Row],[Discount]])</f>
        <v>3400</v>
      </c>
      <c r="K20">
        <f>VALUE(SUBSTITUTE(Table1[[#This Row],[Discount]],"%",""))/100</f>
        <v>0.15</v>
      </c>
    </row>
    <row r="21" spans="1:11" x14ac:dyDescent="0.35">
      <c r="A21">
        <v>1019</v>
      </c>
      <c r="B21" s="1">
        <v>45813</v>
      </c>
      <c r="C21" t="s">
        <v>1005</v>
      </c>
      <c r="D21" t="s">
        <v>978</v>
      </c>
      <c r="E21" t="s">
        <v>992</v>
      </c>
      <c r="F21" t="s">
        <v>998</v>
      </c>
      <c r="G21">
        <v>6</v>
      </c>
      <c r="H21">
        <v>100</v>
      </c>
      <c r="I21" t="s">
        <v>1002</v>
      </c>
      <c r="J21">
        <f>Table1[[#This Row],[Quantity]]*Table1[[#This Row],[Price]]*(1-Table1[[#This Row],[Discount]])</f>
        <v>480</v>
      </c>
      <c r="K21">
        <f>VALUE(SUBSTITUTE(Table1[[#This Row],[Discount]],"%",""))/100</f>
        <v>0.2</v>
      </c>
    </row>
    <row r="22" spans="1:11" x14ac:dyDescent="0.35">
      <c r="A22">
        <v>1020</v>
      </c>
      <c r="B22" s="1">
        <v>45721</v>
      </c>
      <c r="C22" t="s">
        <v>29</v>
      </c>
      <c r="D22" t="s">
        <v>979</v>
      </c>
      <c r="E22" t="s">
        <v>990</v>
      </c>
      <c r="F22" t="s">
        <v>998</v>
      </c>
      <c r="G22">
        <v>2</v>
      </c>
      <c r="H22">
        <v>100</v>
      </c>
      <c r="I22" t="s">
        <v>1004</v>
      </c>
      <c r="J22">
        <f>Table1[[#This Row],[Quantity]]*Table1[[#This Row],[Price]]*(1-Table1[[#This Row],[Discount]])</f>
        <v>180</v>
      </c>
      <c r="K22">
        <f>VALUE(SUBSTITUTE(Table1[[#This Row],[Discount]],"%",""))/100</f>
        <v>0.1</v>
      </c>
    </row>
    <row r="23" spans="1:11" x14ac:dyDescent="0.35">
      <c r="A23">
        <v>1021</v>
      </c>
      <c r="B23" s="1">
        <v>45654</v>
      </c>
      <c r="C23" t="s">
        <v>30</v>
      </c>
      <c r="D23" t="s">
        <v>980</v>
      </c>
      <c r="E23" t="s">
        <v>983</v>
      </c>
      <c r="F23" t="s">
        <v>997</v>
      </c>
      <c r="G23">
        <v>10</v>
      </c>
      <c r="H23">
        <v>4500</v>
      </c>
      <c r="I23" t="s">
        <v>1000</v>
      </c>
      <c r="J23">
        <f>Table1[[#This Row],[Quantity]]*Table1[[#This Row],[Price]]*(1-Table1[[#This Row],[Discount]])</f>
        <v>42750</v>
      </c>
      <c r="K23">
        <f>VALUE(SUBSTITUTE(Table1[[#This Row],[Discount]],"%",""))/100</f>
        <v>0.05</v>
      </c>
    </row>
    <row r="24" spans="1:11" x14ac:dyDescent="0.35">
      <c r="A24">
        <v>1022</v>
      </c>
      <c r="B24" s="1">
        <v>45555</v>
      </c>
      <c r="C24" t="s">
        <v>31</v>
      </c>
      <c r="D24" t="s">
        <v>979</v>
      </c>
      <c r="E24" t="s">
        <v>993</v>
      </c>
      <c r="F24" t="s">
        <v>999</v>
      </c>
      <c r="G24">
        <v>7</v>
      </c>
      <c r="H24">
        <v>2500</v>
      </c>
      <c r="I24" t="s">
        <v>1003</v>
      </c>
      <c r="J24">
        <f>Table1[[#This Row],[Quantity]]*Table1[[#This Row],[Price]]*(1-Table1[[#This Row],[Discount]])</f>
        <v>14875</v>
      </c>
      <c r="K24">
        <f>VALUE(SUBSTITUTE(Table1[[#This Row],[Discount]],"%",""))/100</f>
        <v>0.15</v>
      </c>
    </row>
    <row r="25" spans="1:11" x14ac:dyDescent="0.35">
      <c r="A25">
        <v>1023</v>
      </c>
      <c r="B25" s="1">
        <v>45728</v>
      </c>
      <c r="C25" t="s">
        <v>32</v>
      </c>
      <c r="D25" t="s">
        <v>978</v>
      </c>
      <c r="E25" t="s">
        <v>993</v>
      </c>
      <c r="F25" t="s">
        <v>999</v>
      </c>
      <c r="G25">
        <v>2</v>
      </c>
      <c r="H25">
        <v>500</v>
      </c>
      <c r="I25" t="s">
        <v>1000</v>
      </c>
      <c r="J25">
        <f>Table1[[#This Row],[Quantity]]*Table1[[#This Row],[Price]]*(1-Table1[[#This Row],[Discount]])</f>
        <v>950</v>
      </c>
      <c r="K25">
        <f>VALUE(SUBSTITUTE(Table1[[#This Row],[Discount]],"%",""))/100</f>
        <v>0.05</v>
      </c>
    </row>
    <row r="26" spans="1:11" x14ac:dyDescent="0.35">
      <c r="A26">
        <v>1024</v>
      </c>
      <c r="B26" s="1">
        <v>45554</v>
      </c>
      <c r="C26" t="s">
        <v>33</v>
      </c>
      <c r="D26" t="s">
        <v>979</v>
      </c>
      <c r="E26" t="s">
        <v>988</v>
      </c>
      <c r="F26" t="s">
        <v>999</v>
      </c>
      <c r="G26">
        <v>2</v>
      </c>
      <c r="H26">
        <v>4500</v>
      </c>
      <c r="I26" t="s">
        <v>1002</v>
      </c>
      <c r="J26">
        <f>Table1[[#This Row],[Quantity]]*Table1[[#This Row],[Price]]*(1-Table1[[#This Row],[Discount]])</f>
        <v>7200</v>
      </c>
      <c r="K26">
        <f>VALUE(SUBSTITUTE(Table1[[#This Row],[Discount]],"%",""))/100</f>
        <v>0.2</v>
      </c>
    </row>
    <row r="27" spans="1:11" x14ac:dyDescent="0.35">
      <c r="A27">
        <v>1025</v>
      </c>
      <c r="B27" s="1">
        <v>45543</v>
      </c>
      <c r="C27" t="s">
        <v>34</v>
      </c>
      <c r="D27" t="s">
        <v>980</v>
      </c>
      <c r="E27" t="s">
        <v>990</v>
      </c>
      <c r="F27" t="s">
        <v>998</v>
      </c>
      <c r="G27">
        <v>3</v>
      </c>
      <c r="H27">
        <v>2500</v>
      </c>
      <c r="I27" t="s">
        <v>1003</v>
      </c>
      <c r="J27">
        <f>Table1[[#This Row],[Quantity]]*Table1[[#This Row],[Price]]*(1-Table1[[#This Row],[Discount]])</f>
        <v>6375</v>
      </c>
      <c r="K27">
        <f>VALUE(SUBSTITUTE(Table1[[#This Row],[Discount]],"%",""))/100</f>
        <v>0.15</v>
      </c>
    </row>
    <row r="28" spans="1:11" x14ac:dyDescent="0.35">
      <c r="A28">
        <v>1026</v>
      </c>
      <c r="B28" s="1">
        <v>45732</v>
      </c>
      <c r="C28" t="s">
        <v>35</v>
      </c>
      <c r="D28" t="s">
        <v>981</v>
      </c>
      <c r="E28" t="s">
        <v>987</v>
      </c>
      <c r="F28" t="s">
        <v>999</v>
      </c>
      <c r="G28">
        <v>7</v>
      </c>
      <c r="H28">
        <v>1000</v>
      </c>
      <c r="I28" t="s">
        <v>1003</v>
      </c>
      <c r="J28">
        <f>Table1[[#This Row],[Quantity]]*Table1[[#This Row],[Price]]*(1-Table1[[#This Row],[Discount]])</f>
        <v>5950</v>
      </c>
      <c r="K28">
        <f>VALUE(SUBSTITUTE(Table1[[#This Row],[Discount]],"%",""))/100</f>
        <v>0.15</v>
      </c>
    </row>
    <row r="29" spans="1:11" x14ac:dyDescent="0.35">
      <c r="A29">
        <v>1027</v>
      </c>
      <c r="B29" s="1">
        <v>45706</v>
      </c>
      <c r="C29" t="s">
        <v>36</v>
      </c>
      <c r="D29" t="s">
        <v>978</v>
      </c>
      <c r="E29" t="s">
        <v>994</v>
      </c>
      <c r="F29" t="s">
        <v>997</v>
      </c>
      <c r="G29">
        <v>3</v>
      </c>
      <c r="H29">
        <v>500</v>
      </c>
      <c r="I29" t="s">
        <v>1004</v>
      </c>
      <c r="J29">
        <f>Table1[[#This Row],[Quantity]]*Table1[[#This Row],[Price]]*(1-Table1[[#This Row],[Discount]])</f>
        <v>1350</v>
      </c>
      <c r="K29">
        <f>VALUE(SUBSTITUTE(Table1[[#This Row],[Discount]],"%",""))/100</f>
        <v>0.1</v>
      </c>
    </row>
    <row r="30" spans="1:11" x14ac:dyDescent="0.35">
      <c r="A30">
        <v>1028</v>
      </c>
      <c r="B30" s="1">
        <v>45765</v>
      </c>
      <c r="C30" t="s">
        <v>37</v>
      </c>
      <c r="D30" t="s">
        <v>980</v>
      </c>
      <c r="E30" t="s">
        <v>986</v>
      </c>
      <c r="F30" t="s">
        <v>997</v>
      </c>
      <c r="G30">
        <v>1</v>
      </c>
      <c r="H30">
        <v>100</v>
      </c>
      <c r="I30" t="s">
        <v>1002</v>
      </c>
      <c r="J30">
        <f>Table1[[#This Row],[Quantity]]*Table1[[#This Row],[Price]]*(1-Table1[[#This Row],[Discount]])</f>
        <v>80</v>
      </c>
      <c r="K30">
        <f>VALUE(SUBSTITUTE(Table1[[#This Row],[Discount]],"%",""))/100</f>
        <v>0.2</v>
      </c>
    </row>
    <row r="31" spans="1:11" x14ac:dyDescent="0.35">
      <c r="A31">
        <v>1029</v>
      </c>
      <c r="B31" s="1">
        <v>45604</v>
      </c>
      <c r="C31" t="s">
        <v>38</v>
      </c>
      <c r="D31" t="s">
        <v>979</v>
      </c>
      <c r="E31" t="s">
        <v>982</v>
      </c>
      <c r="F31" t="s">
        <v>997</v>
      </c>
      <c r="G31">
        <v>3</v>
      </c>
      <c r="H31">
        <v>250</v>
      </c>
      <c r="I31" t="s">
        <v>1002</v>
      </c>
      <c r="J31">
        <f>Table1[[#This Row],[Quantity]]*Table1[[#This Row],[Price]]*(1-Table1[[#This Row],[Discount]])</f>
        <v>600</v>
      </c>
      <c r="K31">
        <f>VALUE(SUBSTITUTE(Table1[[#This Row],[Discount]],"%",""))/100</f>
        <v>0.2</v>
      </c>
    </row>
    <row r="32" spans="1:11" x14ac:dyDescent="0.35">
      <c r="A32">
        <v>1030</v>
      </c>
      <c r="B32" s="1">
        <v>45562</v>
      </c>
      <c r="C32" t="s">
        <v>39</v>
      </c>
      <c r="D32" t="s">
        <v>979</v>
      </c>
      <c r="E32" t="s">
        <v>983</v>
      </c>
      <c r="F32" t="s">
        <v>997</v>
      </c>
      <c r="G32">
        <v>10</v>
      </c>
      <c r="H32">
        <v>100</v>
      </c>
      <c r="I32" t="s">
        <v>1002</v>
      </c>
      <c r="J32">
        <f>Table1[[#This Row],[Quantity]]*Table1[[#This Row],[Price]]*(1-Table1[[#This Row],[Discount]])</f>
        <v>800</v>
      </c>
      <c r="K32">
        <f>VALUE(SUBSTITUTE(Table1[[#This Row],[Discount]],"%",""))/100</f>
        <v>0.2</v>
      </c>
    </row>
    <row r="33" spans="1:14" x14ac:dyDescent="0.35">
      <c r="A33">
        <v>1031</v>
      </c>
      <c r="B33" s="1">
        <v>45603</v>
      </c>
      <c r="C33" t="s">
        <v>40</v>
      </c>
      <c r="D33" t="s">
        <v>980</v>
      </c>
      <c r="E33" t="s">
        <v>988</v>
      </c>
      <c r="F33" t="s">
        <v>999</v>
      </c>
      <c r="G33">
        <v>6</v>
      </c>
      <c r="H33">
        <v>500</v>
      </c>
      <c r="I33" t="s">
        <v>1004</v>
      </c>
      <c r="J33">
        <f>Table1[[#This Row],[Quantity]]*Table1[[#This Row],[Price]]*(1-Table1[[#This Row],[Discount]])</f>
        <v>2700</v>
      </c>
      <c r="K33">
        <f>VALUE(SUBSTITUTE(Table1[[#This Row],[Discount]],"%",""))/100</f>
        <v>0.1</v>
      </c>
    </row>
    <row r="34" spans="1:14" x14ac:dyDescent="0.35">
      <c r="A34">
        <v>1032</v>
      </c>
      <c r="B34" s="1">
        <v>45542</v>
      </c>
      <c r="C34" t="s">
        <v>41</v>
      </c>
      <c r="D34" t="s">
        <v>978</v>
      </c>
      <c r="E34" t="s">
        <v>992</v>
      </c>
      <c r="F34" t="s">
        <v>998</v>
      </c>
      <c r="G34">
        <v>8</v>
      </c>
      <c r="H34">
        <v>250</v>
      </c>
      <c r="I34" t="s">
        <v>1001</v>
      </c>
      <c r="J34">
        <f>Table1[[#This Row],[Quantity]]*Table1[[#This Row],[Price]]*(1-Table1[[#This Row],[Discount]])</f>
        <v>2000</v>
      </c>
      <c r="K34">
        <f>VALUE(SUBSTITUTE(Table1[[#This Row],[Discount]],"%",""))/100</f>
        <v>0</v>
      </c>
    </row>
    <row r="35" spans="1:14" x14ac:dyDescent="0.35">
      <c r="A35">
        <v>1033</v>
      </c>
      <c r="B35" s="1">
        <v>45737</v>
      </c>
      <c r="C35" t="s">
        <v>42</v>
      </c>
      <c r="D35" t="s">
        <v>980</v>
      </c>
      <c r="E35" t="s">
        <v>990</v>
      </c>
      <c r="F35" t="s">
        <v>998</v>
      </c>
      <c r="G35">
        <v>6</v>
      </c>
      <c r="H35">
        <v>1000</v>
      </c>
      <c r="I35" t="s">
        <v>1000</v>
      </c>
      <c r="J35">
        <f>Table1[[#This Row],[Quantity]]*Table1[[#This Row],[Price]]*(1-Table1[[#This Row],[Discount]])</f>
        <v>5700</v>
      </c>
      <c r="K35">
        <f>VALUE(SUBSTITUTE(Table1[[#This Row],[Discount]],"%",""))/100</f>
        <v>0.05</v>
      </c>
    </row>
    <row r="36" spans="1:14" x14ac:dyDescent="0.35">
      <c r="A36">
        <v>1034</v>
      </c>
      <c r="B36" s="1">
        <v>45803</v>
      </c>
      <c r="C36" t="s">
        <v>43</v>
      </c>
      <c r="D36" t="s">
        <v>978</v>
      </c>
      <c r="E36" t="s">
        <v>995</v>
      </c>
      <c r="F36" t="s">
        <v>997</v>
      </c>
      <c r="G36">
        <v>1</v>
      </c>
      <c r="H36">
        <v>1000</v>
      </c>
      <c r="I36" t="s">
        <v>1001</v>
      </c>
      <c r="J36">
        <f>Table1[[#This Row],[Quantity]]*Table1[[#This Row],[Price]]*(1-Table1[[#This Row],[Discount]])</f>
        <v>1000</v>
      </c>
      <c r="K36">
        <f>VALUE(SUBSTITUTE(Table1[[#This Row],[Discount]],"%",""))/100</f>
        <v>0</v>
      </c>
    </row>
    <row r="37" spans="1:14" x14ac:dyDescent="0.35">
      <c r="A37">
        <v>1035</v>
      </c>
      <c r="B37" s="1">
        <v>45690</v>
      </c>
      <c r="C37" t="s">
        <v>44</v>
      </c>
      <c r="D37" t="s">
        <v>978</v>
      </c>
      <c r="E37" t="s">
        <v>985</v>
      </c>
      <c r="F37" t="s">
        <v>998</v>
      </c>
      <c r="G37">
        <v>5</v>
      </c>
      <c r="H37">
        <v>500</v>
      </c>
      <c r="I37" t="s">
        <v>1004</v>
      </c>
      <c r="J37">
        <f>Table1[[#This Row],[Quantity]]*Table1[[#This Row],[Price]]*(1-Table1[[#This Row],[Discount]])</f>
        <v>2250</v>
      </c>
      <c r="K37">
        <f>VALUE(SUBSTITUTE(Table1[[#This Row],[Discount]],"%",""))/100</f>
        <v>0.1</v>
      </c>
    </row>
    <row r="38" spans="1:14" x14ac:dyDescent="0.35">
      <c r="A38">
        <v>1036</v>
      </c>
      <c r="B38" s="1">
        <v>45823</v>
      </c>
      <c r="C38" t="s">
        <v>45</v>
      </c>
      <c r="E38" t="s">
        <v>987</v>
      </c>
      <c r="F38" t="s">
        <v>999</v>
      </c>
      <c r="G38">
        <v>2</v>
      </c>
      <c r="H38">
        <v>2500</v>
      </c>
      <c r="I38" t="s">
        <v>1004</v>
      </c>
      <c r="J38">
        <f>Table1[[#This Row],[Quantity]]*Table1[[#This Row],[Price]]*(1-Table1[[#This Row],[Discount]])</f>
        <v>4500</v>
      </c>
      <c r="K38">
        <f>VALUE(SUBSTITUTE(Table1[[#This Row],[Discount]],"%",""))/100</f>
        <v>0.1</v>
      </c>
      <c r="N38" t="s">
        <v>1033</v>
      </c>
    </row>
    <row r="39" spans="1:14" x14ac:dyDescent="0.35">
      <c r="A39">
        <v>1037</v>
      </c>
      <c r="B39" s="1">
        <v>45721</v>
      </c>
      <c r="C39" t="s">
        <v>46</v>
      </c>
      <c r="D39" t="s">
        <v>979</v>
      </c>
      <c r="E39" t="s">
        <v>988</v>
      </c>
      <c r="F39" t="s">
        <v>999</v>
      </c>
      <c r="G39">
        <v>8</v>
      </c>
      <c r="H39">
        <v>2500</v>
      </c>
      <c r="I39" t="s">
        <v>1002</v>
      </c>
      <c r="J39">
        <f>Table1[[#This Row],[Quantity]]*Table1[[#This Row],[Price]]*(1-Table1[[#This Row],[Discount]])</f>
        <v>16000</v>
      </c>
      <c r="K39">
        <f>VALUE(SUBSTITUTE(Table1[[#This Row],[Discount]],"%",""))/100</f>
        <v>0.2</v>
      </c>
    </row>
    <row r="40" spans="1:14" x14ac:dyDescent="0.35">
      <c r="A40">
        <v>1038</v>
      </c>
      <c r="B40" s="1">
        <v>45527</v>
      </c>
      <c r="C40" t="s">
        <v>47</v>
      </c>
      <c r="D40" t="s">
        <v>978</v>
      </c>
      <c r="E40" t="s">
        <v>991</v>
      </c>
      <c r="F40" t="s">
        <v>998</v>
      </c>
      <c r="G40">
        <v>1</v>
      </c>
      <c r="H40">
        <v>1500</v>
      </c>
      <c r="I40" t="s">
        <v>1002</v>
      </c>
      <c r="J40">
        <f>Table1[[#This Row],[Quantity]]*Table1[[#This Row],[Price]]*(1-Table1[[#This Row],[Discount]])</f>
        <v>1200</v>
      </c>
      <c r="K40">
        <f>VALUE(SUBSTITUTE(Table1[[#This Row],[Discount]],"%",""))/100</f>
        <v>0.2</v>
      </c>
    </row>
    <row r="41" spans="1:14" x14ac:dyDescent="0.35">
      <c r="A41">
        <v>1039</v>
      </c>
      <c r="B41" s="1">
        <v>45757</v>
      </c>
      <c r="C41" t="s">
        <v>48</v>
      </c>
      <c r="D41" t="s">
        <v>981</v>
      </c>
      <c r="E41" t="s">
        <v>985</v>
      </c>
      <c r="F41" t="s">
        <v>998</v>
      </c>
      <c r="G41">
        <v>4</v>
      </c>
      <c r="H41">
        <v>500</v>
      </c>
      <c r="I41" t="s">
        <v>1001</v>
      </c>
      <c r="J41">
        <f>Table1[[#This Row],[Quantity]]*Table1[[#This Row],[Price]]*(1-Table1[[#This Row],[Discount]])</f>
        <v>2000</v>
      </c>
      <c r="K41">
        <f>VALUE(SUBSTITUTE(Table1[[#This Row],[Discount]],"%",""))/100</f>
        <v>0</v>
      </c>
    </row>
    <row r="42" spans="1:14" x14ac:dyDescent="0.35">
      <c r="A42">
        <v>1040</v>
      </c>
      <c r="B42" s="1">
        <v>45839</v>
      </c>
      <c r="C42" t="s">
        <v>49</v>
      </c>
      <c r="E42" t="s">
        <v>983</v>
      </c>
      <c r="F42" t="s">
        <v>997</v>
      </c>
      <c r="G42">
        <v>4</v>
      </c>
      <c r="H42">
        <v>300</v>
      </c>
      <c r="I42" t="s">
        <v>1000</v>
      </c>
      <c r="J42">
        <f>Table1[[#This Row],[Quantity]]*Table1[[#This Row],[Price]]*(1-Table1[[#This Row],[Discount]])</f>
        <v>1140</v>
      </c>
      <c r="K42">
        <f>VALUE(SUBSTITUTE(Table1[[#This Row],[Discount]],"%",""))/100</f>
        <v>0.05</v>
      </c>
    </row>
    <row r="43" spans="1:14" x14ac:dyDescent="0.35">
      <c r="A43">
        <v>1041</v>
      </c>
      <c r="B43" s="1">
        <v>45794</v>
      </c>
      <c r="C43" t="s">
        <v>50</v>
      </c>
      <c r="D43" t="s">
        <v>980</v>
      </c>
      <c r="E43" t="s">
        <v>988</v>
      </c>
      <c r="F43" t="s">
        <v>999</v>
      </c>
      <c r="G43">
        <v>5</v>
      </c>
      <c r="H43">
        <v>300</v>
      </c>
      <c r="I43" t="s">
        <v>1001</v>
      </c>
      <c r="J43">
        <f>Table1[[#This Row],[Quantity]]*Table1[[#This Row],[Price]]*(1-Table1[[#This Row],[Discount]])</f>
        <v>1500</v>
      </c>
      <c r="K43">
        <f>VALUE(SUBSTITUTE(Table1[[#This Row],[Discount]],"%",""))/100</f>
        <v>0</v>
      </c>
    </row>
    <row r="44" spans="1:14" x14ac:dyDescent="0.35">
      <c r="A44">
        <v>1042</v>
      </c>
      <c r="B44" s="1">
        <v>45761</v>
      </c>
      <c r="C44" t="s">
        <v>51</v>
      </c>
      <c r="D44" t="s">
        <v>979</v>
      </c>
      <c r="E44" t="s">
        <v>993</v>
      </c>
      <c r="F44" t="s">
        <v>999</v>
      </c>
      <c r="G44">
        <v>5</v>
      </c>
      <c r="H44">
        <v>500</v>
      </c>
      <c r="I44" t="s">
        <v>1000</v>
      </c>
      <c r="J44">
        <f>Table1[[#This Row],[Quantity]]*Table1[[#This Row],[Price]]*(1-Table1[[#This Row],[Discount]])</f>
        <v>2375</v>
      </c>
      <c r="K44">
        <f>VALUE(SUBSTITUTE(Table1[[#This Row],[Discount]],"%",""))/100</f>
        <v>0.05</v>
      </c>
    </row>
    <row r="45" spans="1:14" x14ac:dyDescent="0.35">
      <c r="A45">
        <v>1043</v>
      </c>
      <c r="B45" s="1">
        <v>45547</v>
      </c>
      <c r="C45" t="s">
        <v>52</v>
      </c>
      <c r="D45" t="s">
        <v>981</v>
      </c>
      <c r="E45" t="s">
        <v>985</v>
      </c>
      <c r="F45" t="s">
        <v>998</v>
      </c>
      <c r="G45">
        <v>6</v>
      </c>
      <c r="H45">
        <v>2500</v>
      </c>
      <c r="I45" t="s">
        <v>1002</v>
      </c>
      <c r="J45">
        <f>Table1[[#This Row],[Quantity]]*Table1[[#This Row],[Price]]*(1-Table1[[#This Row],[Discount]])</f>
        <v>12000</v>
      </c>
      <c r="K45">
        <f>VALUE(SUBSTITUTE(Table1[[#This Row],[Discount]],"%",""))/100</f>
        <v>0.2</v>
      </c>
    </row>
    <row r="46" spans="1:14" x14ac:dyDescent="0.35">
      <c r="A46">
        <v>1044</v>
      </c>
      <c r="B46" s="1">
        <v>45716</v>
      </c>
      <c r="C46" t="s">
        <v>53</v>
      </c>
      <c r="D46" t="s">
        <v>980</v>
      </c>
      <c r="E46" t="s">
        <v>991</v>
      </c>
      <c r="F46" t="s">
        <v>998</v>
      </c>
      <c r="G46">
        <v>5</v>
      </c>
      <c r="H46">
        <v>100</v>
      </c>
      <c r="I46" t="s">
        <v>1001</v>
      </c>
      <c r="J46">
        <f>Table1[[#This Row],[Quantity]]*Table1[[#This Row],[Price]]*(1-Table1[[#This Row],[Discount]])</f>
        <v>500</v>
      </c>
      <c r="K46">
        <f>VALUE(SUBSTITUTE(Table1[[#This Row],[Discount]],"%",""))/100</f>
        <v>0</v>
      </c>
    </row>
    <row r="47" spans="1:14" x14ac:dyDescent="0.35">
      <c r="A47">
        <v>1045</v>
      </c>
      <c r="B47" s="1">
        <v>45746</v>
      </c>
      <c r="C47" t="s">
        <v>1005</v>
      </c>
      <c r="D47" t="s">
        <v>979</v>
      </c>
      <c r="E47" t="s">
        <v>982</v>
      </c>
      <c r="F47" t="s">
        <v>997</v>
      </c>
      <c r="G47">
        <v>7</v>
      </c>
      <c r="H47">
        <v>500</v>
      </c>
      <c r="I47" t="s">
        <v>1004</v>
      </c>
      <c r="J47">
        <f>Table1[[#This Row],[Quantity]]*Table1[[#This Row],[Price]]*(1-Table1[[#This Row],[Discount]])</f>
        <v>3150</v>
      </c>
      <c r="K47">
        <f>VALUE(SUBSTITUTE(Table1[[#This Row],[Discount]],"%",""))/100</f>
        <v>0.1</v>
      </c>
    </row>
    <row r="48" spans="1:14" x14ac:dyDescent="0.35">
      <c r="A48">
        <v>1046</v>
      </c>
      <c r="B48" s="1">
        <v>45629</v>
      </c>
      <c r="C48" t="s">
        <v>54</v>
      </c>
      <c r="D48" t="s">
        <v>981</v>
      </c>
      <c r="E48" t="s">
        <v>983</v>
      </c>
      <c r="F48" t="s">
        <v>997</v>
      </c>
      <c r="G48">
        <v>6</v>
      </c>
      <c r="H48">
        <v>2500</v>
      </c>
      <c r="I48" t="s">
        <v>1001</v>
      </c>
      <c r="J48">
        <f>Table1[[#This Row],[Quantity]]*Table1[[#This Row],[Price]]*(1-Table1[[#This Row],[Discount]])</f>
        <v>15000</v>
      </c>
      <c r="K48">
        <f>VALUE(SUBSTITUTE(Table1[[#This Row],[Discount]],"%",""))/100</f>
        <v>0</v>
      </c>
    </row>
    <row r="49" spans="1:11" x14ac:dyDescent="0.35">
      <c r="A49">
        <v>1047</v>
      </c>
      <c r="B49" s="1">
        <v>45584</v>
      </c>
      <c r="C49" t="s">
        <v>55</v>
      </c>
      <c r="D49" t="s">
        <v>980</v>
      </c>
      <c r="E49" t="s">
        <v>989</v>
      </c>
      <c r="F49" t="s">
        <v>999</v>
      </c>
      <c r="G49">
        <v>5</v>
      </c>
      <c r="H49">
        <v>2500</v>
      </c>
      <c r="I49" t="s">
        <v>1004</v>
      </c>
      <c r="J49">
        <f>Table1[[#This Row],[Quantity]]*Table1[[#This Row],[Price]]*(1-Table1[[#This Row],[Discount]])</f>
        <v>11250</v>
      </c>
      <c r="K49">
        <f>VALUE(SUBSTITUTE(Table1[[#This Row],[Discount]],"%",""))/100</f>
        <v>0.1</v>
      </c>
    </row>
    <row r="50" spans="1:11" x14ac:dyDescent="0.35">
      <c r="A50">
        <v>1048</v>
      </c>
      <c r="B50" s="1">
        <v>45724</v>
      </c>
      <c r="C50" t="s">
        <v>56</v>
      </c>
      <c r="D50" t="s">
        <v>979</v>
      </c>
      <c r="E50" t="s">
        <v>994</v>
      </c>
      <c r="F50" t="s">
        <v>997</v>
      </c>
      <c r="G50">
        <v>3</v>
      </c>
      <c r="H50">
        <v>1000</v>
      </c>
      <c r="I50" t="s">
        <v>1003</v>
      </c>
      <c r="J50">
        <f>Table1[[#This Row],[Quantity]]*Table1[[#This Row],[Price]]*(1-Table1[[#This Row],[Discount]])</f>
        <v>2550</v>
      </c>
      <c r="K50">
        <f>VALUE(SUBSTITUTE(Table1[[#This Row],[Discount]],"%",""))/100</f>
        <v>0.15</v>
      </c>
    </row>
    <row r="51" spans="1:11" x14ac:dyDescent="0.35">
      <c r="A51">
        <v>1049</v>
      </c>
      <c r="B51" s="1">
        <v>45574</v>
      </c>
      <c r="C51" t="s">
        <v>57</v>
      </c>
      <c r="D51" t="s">
        <v>978</v>
      </c>
      <c r="E51" t="s">
        <v>986</v>
      </c>
      <c r="F51" t="s">
        <v>997</v>
      </c>
      <c r="G51">
        <v>8</v>
      </c>
      <c r="H51">
        <v>4500</v>
      </c>
      <c r="I51" t="s">
        <v>1003</v>
      </c>
      <c r="J51">
        <f>Table1[[#This Row],[Quantity]]*Table1[[#This Row],[Price]]*(1-Table1[[#This Row],[Discount]])</f>
        <v>30600</v>
      </c>
      <c r="K51">
        <f>VALUE(SUBSTITUTE(Table1[[#This Row],[Discount]],"%",""))/100</f>
        <v>0.15</v>
      </c>
    </row>
    <row r="52" spans="1:11" x14ac:dyDescent="0.35">
      <c r="A52">
        <v>1050</v>
      </c>
      <c r="B52" s="1">
        <v>45660</v>
      </c>
      <c r="C52" t="s">
        <v>58</v>
      </c>
      <c r="D52" t="s">
        <v>981</v>
      </c>
      <c r="E52" t="s">
        <v>983</v>
      </c>
      <c r="F52" t="s">
        <v>997</v>
      </c>
      <c r="G52">
        <v>2</v>
      </c>
      <c r="H52">
        <v>1000</v>
      </c>
      <c r="I52" t="s">
        <v>1002</v>
      </c>
      <c r="J52">
        <f>Table1[[#This Row],[Quantity]]*Table1[[#This Row],[Price]]*(1-Table1[[#This Row],[Discount]])</f>
        <v>1600</v>
      </c>
      <c r="K52">
        <f>VALUE(SUBSTITUTE(Table1[[#This Row],[Discount]],"%",""))/100</f>
        <v>0.2</v>
      </c>
    </row>
    <row r="53" spans="1:11" x14ac:dyDescent="0.35">
      <c r="A53">
        <v>1051</v>
      </c>
      <c r="B53" s="1">
        <v>45751</v>
      </c>
      <c r="C53" t="s">
        <v>59</v>
      </c>
      <c r="D53" t="s">
        <v>979</v>
      </c>
      <c r="E53" t="s">
        <v>988</v>
      </c>
      <c r="F53" t="s">
        <v>999</v>
      </c>
      <c r="G53">
        <v>4</v>
      </c>
      <c r="H53">
        <v>300</v>
      </c>
      <c r="I53" t="s">
        <v>1001</v>
      </c>
      <c r="J53">
        <f>Table1[[#This Row],[Quantity]]*Table1[[#This Row],[Price]]*(1-Table1[[#This Row],[Discount]])</f>
        <v>1200</v>
      </c>
      <c r="K53">
        <f>VALUE(SUBSTITUTE(Table1[[#This Row],[Discount]],"%",""))/100</f>
        <v>0</v>
      </c>
    </row>
    <row r="54" spans="1:11" x14ac:dyDescent="0.35">
      <c r="A54">
        <v>1052</v>
      </c>
      <c r="B54" s="1">
        <v>45835</v>
      </c>
      <c r="C54" t="s">
        <v>60</v>
      </c>
      <c r="D54" t="s">
        <v>980</v>
      </c>
      <c r="E54" t="s">
        <v>984</v>
      </c>
      <c r="F54" t="s">
        <v>998</v>
      </c>
      <c r="G54">
        <v>7</v>
      </c>
      <c r="H54">
        <v>500</v>
      </c>
      <c r="I54" t="s">
        <v>1003</v>
      </c>
      <c r="J54">
        <f>Table1[[#This Row],[Quantity]]*Table1[[#This Row],[Price]]*(1-Table1[[#This Row],[Discount]])</f>
        <v>2975</v>
      </c>
      <c r="K54">
        <f>VALUE(SUBSTITUTE(Table1[[#This Row],[Discount]],"%",""))/100</f>
        <v>0.15</v>
      </c>
    </row>
    <row r="55" spans="1:11" x14ac:dyDescent="0.35">
      <c r="A55">
        <v>1053</v>
      </c>
      <c r="B55" s="1">
        <v>45555</v>
      </c>
      <c r="C55" t="s">
        <v>61</v>
      </c>
      <c r="D55" t="s">
        <v>980</v>
      </c>
      <c r="E55" t="s">
        <v>984</v>
      </c>
      <c r="F55" t="s">
        <v>998</v>
      </c>
      <c r="G55">
        <v>4</v>
      </c>
      <c r="H55">
        <v>300</v>
      </c>
      <c r="I55" t="s">
        <v>1002</v>
      </c>
      <c r="J55">
        <f>Table1[[#This Row],[Quantity]]*Table1[[#This Row],[Price]]*(1-Table1[[#This Row],[Discount]])</f>
        <v>960</v>
      </c>
      <c r="K55">
        <f>VALUE(SUBSTITUTE(Table1[[#This Row],[Discount]],"%",""))/100</f>
        <v>0.2</v>
      </c>
    </row>
    <row r="56" spans="1:11" x14ac:dyDescent="0.35">
      <c r="A56">
        <v>1054</v>
      </c>
      <c r="B56" s="1">
        <v>45859</v>
      </c>
      <c r="C56" t="s">
        <v>62</v>
      </c>
      <c r="D56" t="s">
        <v>980</v>
      </c>
      <c r="E56" t="s">
        <v>988</v>
      </c>
      <c r="F56" t="s">
        <v>999</v>
      </c>
      <c r="G56">
        <v>8</v>
      </c>
      <c r="H56">
        <v>1500</v>
      </c>
      <c r="I56" t="s">
        <v>1003</v>
      </c>
      <c r="J56">
        <f>Table1[[#This Row],[Quantity]]*Table1[[#This Row],[Price]]*(1-Table1[[#This Row],[Discount]])</f>
        <v>10200</v>
      </c>
      <c r="K56">
        <f>VALUE(SUBSTITUTE(Table1[[#This Row],[Discount]],"%",""))/100</f>
        <v>0.15</v>
      </c>
    </row>
    <row r="57" spans="1:11" x14ac:dyDescent="0.35">
      <c r="A57">
        <v>1055</v>
      </c>
      <c r="B57" s="1">
        <v>45539</v>
      </c>
      <c r="C57" t="s">
        <v>63</v>
      </c>
      <c r="D57" t="s">
        <v>981</v>
      </c>
      <c r="E57" t="s">
        <v>994</v>
      </c>
      <c r="F57" t="s">
        <v>997</v>
      </c>
      <c r="G57">
        <v>8</v>
      </c>
      <c r="H57">
        <v>1000</v>
      </c>
      <c r="I57" t="s">
        <v>1000</v>
      </c>
      <c r="J57">
        <f>Table1[[#This Row],[Quantity]]*Table1[[#This Row],[Price]]*(1-Table1[[#This Row],[Discount]])</f>
        <v>7600</v>
      </c>
      <c r="K57">
        <f>VALUE(SUBSTITUTE(Table1[[#This Row],[Discount]],"%",""))/100</f>
        <v>0.05</v>
      </c>
    </row>
    <row r="58" spans="1:11" x14ac:dyDescent="0.35">
      <c r="A58">
        <v>1056</v>
      </c>
      <c r="B58" s="1">
        <v>45537</v>
      </c>
      <c r="C58" t="s">
        <v>64</v>
      </c>
      <c r="D58" t="s">
        <v>981</v>
      </c>
      <c r="E58" t="s">
        <v>996</v>
      </c>
      <c r="F58" t="s">
        <v>999</v>
      </c>
      <c r="G58">
        <v>2</v>
      </c>
      <c r="H58">
        <v>1000</v>
      </c>
      <c r="I58" t="s">
        <v>1000</v>
      </c>
      <c r="J58">
        <f>Table1[[#This Row],[Quantity]]*Table1[[#This Row],[Price]]*(1-Table1[[#This Row],[Discount]])</f>
        <v>1900</v>
      </c>
      <c r="K58">
        <f>VALUE(SUBSTITUTE(Table1[[#This Row],[Discount]],"%",""))/100</f>
        <v>0.05</v>
      </c>
    </row>
    <row r="59" spans="1:11" x14ac:dyDescent="0.35">
      <c r="A59">
        <v>1057</v>
      </c>
      <c r="B59" s="1">
        <v>45689</v>
      </c>
      <c r="C59" t="s">
        <v>65</v>
      </c>
      <c r="D59" t="s">
        <v>979</v>
      </c>
      <c r="E59" t="s">
        <v>990</v>
      </c>
      <c r="F59" t="s">
        <v>998</v>
      </c>
      <c r="G59">
        <v>7</v>
      </c>
      <c r="H59">
        <v>300</v>
      </c>
      <c r="I59" t="s">
        <v>1000</v>
      </c>
      <c r="J59">
        <f>Table1[[#This Row],[Quantity]]*Table1[[#This Row],[Price]]*(1-Table1[[#This Row],[Discount]])</f>
        <v>1995</v>
      </c>
      <c r="K59">
        <f>VALUE(SUBSTITUTE(Table1[[#This Row],[Discount]],"%",""))/100</f>
        <v>0.05</v>
      </c>
    </row>
    <row r="60" spans="1:11" x14ac:dyDescent="0.35">
      <c r="A60">
        <v>1058</v>
      </c>
      <c r="B60" s="1">
        <v>45501</v>
      </c>
      <c r="C60" t="s">
        <v>66</v>
      </c>
      <c r="D60" t="s">
        <v>979</v>
      </c>
      <c r="E60" t="s">
        <v>990</v>
      </c>
      <c r="F60" t="s">
        <v>998</v>
      </c>
      <c r="G60">
        <v>7</v>
      </c>
      <c r="H60">
        <v>2500</v>
      </c>
      <c r="I60" t="s">
        <v>1002</v>
      </c>
      <c r="J60">
        <f>Table1[[#This Row],[Quantity]]*Table1[[#This Row],[Price]]*(1-Table1[[#This Row],[Discount]])</f>
        <v>14000</v>
      </c>
      <c r="K60">
        <f>VALUE(SUBSTITUTE(Table1[[#This Row],[Discount]],"%",""))/100</f>
        <v>0.2</v>
      </c>
    </row>
    <row r="61" spans="1:11" x14ac:dyDescent="0.35">
      <c r="A61">
        <v>1059</v>
      </c>
      <c r="B61" s="1">
        <v>45665</v>
      </c>
      <c r="C61" t="s">
        <v>67</v>
      </c>
      <c r="D61" t="s">
        <v>978</v>
      </c>
      <c r="E61" t="s">
        <v>985</v>
      </c>
      <c r="F61" t="s">
        <v>998</v>
      </c>
      <c r="G61">
        <v>5</v>
      </c>
      <c r="H61">
        <v>2500</v>
      </c>
      <c r="I61" t="s">
        <v>1003</v>
      </c>
      <c r="J61">
        <f>Table1[[#This Row],[Quantity]]*Table1[[#This Row],[Price]]*(1-Table1[[#This Row],[Discount]])</f>
        <v>10625</v>
      </c>
      <c r="K61">
        <f>VALUE(SUBSTITUTE(Table1[[#This Row],[Discount]],"%",""))/100</f>
        <v>0.15</v>
      </c>
    </row>
    <row r="62" spans="1:11" x14ac:dyDescent="0.35">
      <c r="A62">
        <v>1060</v>
      </c>
      <c r="B62" s="1">
        <v>45758</v>
      </c>
      <c r="C62" t="s">
        <v>68</v>
      </c>
      <c r="D62" t="s">
        <v>978</v>
      </c>
      <c r="E62" t="s">
        <v>993</v>
      </c>
      <c r="F62" t="s">
        <v>999</v>
      </c>
      <c r="G62">
        <v>7</v>
      </c>
      <c r="H62">
        <v>300</v>
      </c>
      <c r="I62" t="s">
        <v>1003</v>
      </c>
      <c r="J62">
        <f>Table1[[#This Row],[Quantity]]*Table1[[#This Row],[Price]]*(1-Table1[[#This Row],[Discount]])</f>
        <v>1785</v>
      </c>
      <c r="K62">
        <f>VALUE(SUBSTITUTE(Table1[[#This Row],[Discount]],"%",""))/100</f>
        <v>0.15</v>
      </c>
    </row>
    <row r="63" spans="1:11" x14ac:dyDescent="0.35">
      <c r="A63">
        <v>1061</v>
      </c>
      <c r="B63" s="1">
        <v>45523</v>
      </c>
      <c r="C63" t="s">
        <v>69</v>
      </c>
      <c r="D63" t="s">
        <v>978</v>
      </c>
      <c r="E63" t="s">
        <v>995</v>
      </c>
      <c r="F63" t="s">
        <v>997</v>
      </c>
      <c r="G63">
        <v>1</v>
      </c>
      <c r="H63">
        <v>250</v>
      </c>
      <c r="I63" t="s">
        <v>1003</v>
      </c>
      <c r="J63">
        <f>Table1[[#This Row],[Quantity]]*Table1[[#This Row],[Price]]*(1-Table1[[#This Row],[Discount]])</f>
        <v>212.5</v>
      </c>
      <c r="K63">
        <f>VALUE(SUBSTITUTE(Table1[[#This Row],[Discount]],"%",""))/100</f>
        <v>0.15</v>
      </c>
    </row>
    <row r="64" spans="1:11" x14ac:dyDescent="0.35">
      <c r="A64">
        <v>1062</v>
      </c>
      <c r="B64" s="1">
        <v>45523</v>
      </c>
      <c r="C64" t="s">
        <v>70</v>
      </c>
      <c r="D64" t="s">
        <v>980</v>
      </c>
      <c r="E64" t="s">
        <v>988</v>
      </c>
      <c r="F64" t="s">
        <v>999</v>
      </c>
      <c r="G64">
        <v>8</v>
      </c>
      <c r="H64">
        <v>1500</v>
      </c>
      <c r="I64" t="s">
        <v>1004</v>
      </c>
      <c r="J64">
        <f>Table1[[#This Row],[Quantity]]*Table1[[#This Row],[Price]]*(1-Table1[[#This Row],[Discount]])</f>
        <v>10800</v>
      </c>
      <c r="K64">
        <f>VALUE(SUBSTITUTE(Table1[[#This Row],[Discount]],"%",""))/100</f>
        <v>0.1</v>
      </c>
    </row>
    <row r="65" spans="1:11" x14ac:dyDescent="0.35">
      <c r="A65">
        <v>1063</v>
      </c>
      <c r="B65" s="1">
        <v>45707</v>
      </c>
      <c r="C65" t="s">
        <v>71</v>
      </c>
      <c r="D65" t="s">
        <v>978</v>
      </c>
      <c r="E65" t="s">
        <v>984</v>
      </c>
      <c r="F65" t="s">
        <v>998</v>
      </c>
      <c r="G65">
        <v>1</v>
      </c>
      <c r="H65">
        <v>100</v>
      </c>
      <c r="I65" t="s">
        <v>1004</v>
      </c>
      <c r="J65">
        <f>Table1[[#This Row],[Quantity]]*Table1[[#This Row],[Price]]*(1-Table1[[#This Row],[Discount]])</f>
        <v>90</v>
      </c>
      <c r="K65">
        <f>VALUE(SUBSTITUTE(Table1[[#This Row],[Discount]],"%",""))/100</f>
        <v>0.1</v>
      </c>
    </row>
    <row r="66" spans="1:11" x14ac:dyDescent="0.35">
      <c r="A66">
        <v>1064</v>
      </c>
      <c r="B66" s="1">
        <v>45573</v>
      </c>
      <c r="C66" t="s">
        <v>72</v>
      </c>
      <c r="D66" t="s">
        <v>978</v>
      </c>
      <c r="E66" t="s">
        <v>990</v>
      </c>
      <c r="F66" t="s">
        <v>998</v>
      </c>
      <c r="G66">
        <v>4</v>
      </c>
      <c r="H66">
        <v>100</v>
      </c>
      <c r="I66" t="s">
        <v>1002</v>
      </c>
      <c r="J66">
        <f>Table1[[#This Row],[Quantity]]*Table1[[#This Row],[Price]]*(1-Table1[[#This Row],[Discount]])</f>
        <v>320</v>
      </c>
      <c r="K66">
        <f>VALUE(SUBSTITUTE(Table1[[#This Row],[Discount]],"%",""))/100</f>
        <v>0.2</v>
      </c>
    </row>
    <row r="67" spans="1:11" x14ac:dyDescent="0.35">
      <c r="A67">
        <v>1065</v>
      </c>
      <c r="B67" s="1">
        <v>45657</v>
      </c>
      <c r="C67" t="s">
        <v>73</v>
      </c>
      <c r="D67" t="s">
        <v>979</v>
      </c>
      <c r="E67" t="s">
        <v>984</v>
      </c>
      <c r="F67" t="s">
        <v>998</v>
      </c>
      <c r="G67">
        <v>5</v>
      </c>
      <c r="H67">
        <v>1500</v>
      </c>
      <c r="I67" t="s">
        <v>1000</v>
      </c>
      <c r="J67">
        <f>Table1[[#This Row],[Quantity]]*Table1[[#This Row],[Price]]*(1-Table1[[#This Row],[Discount]])</f>
        <v>7125</v>
      </c>
      <c r="K67">
        <f>VALUE(SUBSTITUTE(Table1[[#This Row],[Discount]],"%",""))/100</f>
        <v>0.05</v>
      </c>
    </row>
    <row r="68" spans="1:11" x14ac:dyDescent="0.35">
      <c r="A68">
        <v>1066</v>
      </c>
      <c r="B68" s="1">
        <v>45731</v>
      </c>
      <c r="C68" t="s">
        <v>74</v>
      </c>
      <c r="D68" t="s">
        <v>978</v>
      </c>
      <c r="E68" t="s">
        <v>982</v>
      </c>
      <c r="F68" t="s">
        <v>997</v>
      </c>
      <c r="G68">
        <v>5</v>
      </c>
      <c r="H68">
        <v>2500</v>
      </c>
      <c r="I68" t="s">
        <v>1003</v>
      </c>
      <c r="J68">
        <f>Table1[[#This Row],[Quantity]]*Table1[[#This Row],[Price]]*(1-Table1[[#This Row],[Discount]])</f>
        <v>10625</v>
      </c>
      <c r="K68">
        <f>VALUE(SUBSTITUTE(Table1[[#This Row],[Discount]],"%",""))/100</f>
        <v>0.15</v>
      </c>
    </row>
    <row r="69" spans="1:11" x14ac:dyDescent="0.35">
      <c r="A69">
        <v>1067</v>
      </c>
      <c r="B69" s="1">
        <v>45720</v>
      </c>
      <c r="C69" t="s">
        <v>75</v>
      </c>
      <c r="D69" t="s">
        <v>979</v>
      </c>
      <c r="E69" t="s">
        <v>985</v>
      </c>
      <c r="F69" t="s">
        <v>998</v>
      </c>
      <c r="G69">
        <v>10</v>
      </c>
      <c r="H69">
        <v>250</v>
      </c>
      <c r="I69" t="s">
        <v>1002</v>
      </c>
      <c r="J69">
        <f>Table1[[#This Row],[Quantity]]*Table1[[#This Row],[Price]]*(1-Table1[[#This Row],[Discount]])</f>
        <v>2000</v>
      </c>
      <c r="K69">
        <f>VALUE(SUBSTITUTE(Table1[[#This Row],[Discount]],"%",""))/100</f>
        <v>0.2</v>
      </c>
    </row>
    <row r="70" spans="1:11" x14ac:dyDescent="0.35">
      <c r="A70">
        <v>1068</v>
      </c>
      <c r="B70" s="1">
        <v>45779</v>
      </c>
      <c r="C70" t="s">
        <v>76</v>
      </c>
      <c r="D70" t="s">
        <v>979</v>
      </c>
      <c r="E70" t="s">
        <v>986</v>
      </c>
      <c r="F70" t="s">
        <v>997</v>
      </c>
      <c r="G70">
        <v>1</v>
      </c>
      <c r="H70">
        <v>2500</v>
      </c>
      <c r="I70" t="s">
        <v>1003</v>
      </c>
      <c r="J70">
        <f>Table1[[#This Row],[Quantity]]*Table1[[#This Row],[Price]]*(1-Table1[[#This Row],[Discount]])</f>
        <v>2125</v>
      </c>
      <c r="K70">
        <f>VALUE(SUBSTITUTE(Table1[[#This Row],[Discount]],"%",""))/100</f>
        <v>0.15</v>
      </c>
    </row>
    <row r="71" spans="1:11" x14ac:dyDescent="0.35">
      <c r="A71">
        <v>1069</v>
      </c>
      <c r="B71" s="1">
        <v>45751</v>
      </c>
      <c r="C71" t="s">
        <v>77</v>
      </c>
      <c r="D71" t="s">
        <v>981</v>
      </c>
      <c r="E71" t="s">
        <v>988</v>
      </c>
      <c r="F71" t="s">
        <v>999</v>
      </c>
      <c r="G71">
        <v>7</v>
      </c>
      <c r="H71">
        <v>300</v>
      </c>
      <c r="I71" t="s">
        <v>1002</v>
      </c>
      <c r="J71">
        <f>Table1[[#This Row],[Quantity]]*Table1[[#This Row],[Price]]*(1-Table1[[#This Row],[Discount]])</f>
        <v>1680</v>
      </c>
      <c r="K71">
        <f>VALUE(SUBSTITUTE(Table1[[#This Row],[Discount]],"%",""))/100</f>
        <v>0.2</v>
      </c>
    </row>
    <row r="72" spans="1:11" x14ac:dyDescent="0.35">
      <c r="A72">
        <v>1070</v>
      </c>
      <c r="B72" s="1">
        <v>45529</v>
      </c>
      <c r="C72" t="s">
        <v>78</v>
      </c>
      <c r="D72" t="s">
        <v>978</v>
      </c>
      <c r="E72" t="s">
        <v>996</v>
      </c>
      <c r="F72" t="s">
        <v>999</v>
      </c>
      <c r="G72">
        <v>10</v>
      </c>
      <c r="H72">
        <v>1000</v>
      </c>
      <c r="I72" t="s">
        <v>1004</v>
      </c>
      <c r="J72">
        <f>Table1[[#This Row],[Quantity]]*Table1[[#This Row],[Price]]*(1-Table1[[#This Row],[Discount]])</f>
        <v>9000</v>
      </c>
      <c r="K72">
        <f>VALUE(SUBSTITUTE(Table1[[#This Row],[Discount]],"%",""))/100</f>
        <v>0.1</v>
      </c>
    </row>
    <row r="73" spans="1:11" x14ac:dyDescent="0.35">
      <c r="A73">
        <v>1071</v>
      </c>
      <c r="B73" s="1">
        <v>45539</v>
      </c>
      <c r="C73" t="s">
        <v>79</v>
      </c>
      <c r="D73" t="s">
        <v>979</v>
      </c>
      <c r="E73" t="s">
        <v>984</v>
      </c>
      <c r="F73" t="s">
        <v>998</v>
      </c>
      <c r="G73">
        <v>10</v>
      </c>
      <c r="H73">
        <v>2500</v>
      </c>
      <c r="I73" t="s">
        <v>1004</v>
      </c>
      <c r="J73">
        <f>Table1[[#This Row],[Quantity]]*Table1[[#This Row],[Price]]*(1-Table1[[#This Row],[Discount]])</f>
        <v>22500</v>
      </c>
      <c r="K73">
        <f>VALUE(SUBSTITUTE(Table1[[#This Row],[Discount]],"%",""))/100</f>
        <v>0.1</v>
      </c>
    </row>
    <row r="74" spans="1:11" x14ac:dyDescent="0.35">
      <c r="A74">
        <v>1072</v>
      </c>
      <c r="B74" s="1">
        <v>45863</v>
      </c>
      <c r="C74" t="s">
        <v>80</v>
      </c>
      <c r="D74" t="s">
        <v>981</v>
      </c>
      <c r="E74" t="s">
        <v>993</v>
      </c>
      <c r="F74" t="s">
        <v>999</v>
      </c>
      <c r="G74">
        <v>6</v>
      </c>
      <c r="H74">
        <v>1000</v>
      </c>
      <c r="I74" t="s">
        <v>1002</v>
      </c>
      <c r="J74">
        <f>Table1[[#This Row],[Quantity]]*Table1[[#This Row],[Price]]*(1-Table1[[#This Row],[Discount]])</f>
        <v>4800</v>
      </c>
      <c r="K74">
        <f>VALUE(SUBSTITUTE(Table1[[#This Row],[Discount]],"%",""))/100</f>
        <v>0.2</v>
      </c>
    </row>
    <row r="75" spans="1:11" x14ac:dyDescent="0.35">
      <c r="A75">
        <v>1073</v>
      </c>
      <c r="B75" s="1">
        <v>45611</v>
      </c>
      <c r="C75" t="s">
        <v>1005</v>
      </c>
      <c r="D75" t="s">
        <v>980</v>
      </c>
      <c r="E75" t="s">
        <v>984</v>
      </c>
      <c r="F75" t="s">
        <v>998</v>
      </c>
      <c r="G75">
        <v>8</v>
      </c>
      <c r="H75">
        <v>500</v>
      </c>
      <c r="I75" t="s">
        <v>1003</v>
      </c>
      <c r="J75">
        <f>Table1[[#This Row],[Quantity]]*Table1[[#This Row],[Price]]*(1-Table1[[#This Row],[Discount]])</f>
        <v>3400</v>
      </c>
      <c r="K75">
        <f>VALUE(SUBSTITUTE(Table1[[#This Row],[Discount]],"%",""))/100</f>
        <v>0.15</v>
      </c>
    </row>
    <row r="76" spans="1:11" x14ac:dyDescent="0.35">
      <c r="A76">
        <v>1074</v>
      </c>
      <c r="B76" s="1">
        <v>45738</v>
      </c>
      <c r="C76" t="s">
        <v>81</v>
      </c>
      <c r="D76" t="s">
        <v>981</v>
      </c>
      <c r="E76" t="s">
        <v>988</v>
      </c>
      <c r="F76" t="s">
        <v>999</v>
      </c>
      <c r="G76">
        <v>5</v>
      </c>
      <c r="H76">
        <v>1500</v>
      </c>
      <c r="I76" t="s">
        <v>1003</v>
      </c>
      <c r="J76">
        <f>Table1[[#This Row],[Quantity]]*Table1[[#This Row],[Price]]*(1-Table1[[#This Row],[Discount]])</f>
        <v>6375</v>
      </c>
      <c r="K76">
        <f>VALUE(SUBSTITUTE(Table1[[#This Row],[Discount]],"%",""))/100</f>
        <v>0.15</v>
      </c>
    </row>
    <row r="77" spans="1:11" x14ac:dyDescent="0.35">
      <c r="A77">
        <v>1075</v>
      </c>
      <c r="B77" s="1">
        <v>45716</v>
      </c>
      <c r="C77" t="s">
        <v>82</v>
      </c>
      <c r="D77" t="s">
        <v>978</v>
      </c>
      <c r="E77" t="s">
        <v>994</v>
      </c>
      <c r="F77" t="s">
        <v>997</v>
      </c>
      <c r="G77">
        <v>5</v>
      </c>
      <c r="H77">
        <v>1000</v>
      </c>
      <c r="I77" t="s">
        <v>1004</v>
      </c>
      <c r="J77">
        <f>Table1[[#This Row],[Quantity]]*Table1[[#This Row],[Price]]*(1-Table1[[#This Row],[Discount]])</f>
        <v>4500</v>
      </c>
      <c r="K77">
        <f>VALUE(SUBSTITUTE(Table1[[#This Row],[Discount]],"%",""))/100</f>
        <v>0.1</v>
      </c>
    </row>
    <row r="78" spans="1:11" x14ac:dyDescent="0.35">
      <c r="A78">
        <v>1076</v>
      </c>
      <c r="B78" s="1">
        <v>45553</v>
      </c>
      <c r="C78" t="s">
        <v>83</v>
      </c>
      <c r="D78" t="s">
        <v>981</v>
      </c>
      <c r="E78" t="s">
        <v>983</v>
      </c>
      <c r="F78" t="s">
        <v>997</v>
      </c>
      <c r="G78">
        <v>4</v>
      </c>
      <c r="H78">
        <v>500</v>
      </c>
      <c r="I78" t="s">
        <v>1003</v>
      </c>
      <c r="J78">
        <f>Table1[[#This Row],[Quantity]]*Table1[[#This Row],[Price]]*(1-Table1[[#This Row],[Discount]])</f>
        <v>1700</v>
      </c>
      <c r="K78">
        <f>VALUE(SUBSTITUTE(Table1[[#This Row],[Discount]],"%",""))/100</f>
        <v>0.15</v>
      </c>
    </row>
    <row r="79" spans="1:11" x14ac:dyDescent="0.35">
      <c r="A79">
        <v>1077</v>
      </c>
      <c r="B79" s="1">
        <v>45561</v>
      </c>
      <c r="C79" t="s">
        <v>1005</v>
      </c>
      <c r="D79" t="s">
        <v>981</v>
      </c>
      <c r="E79" t="s">
        <v>987</v>
      </c>
      <c r="F79" t="s">
        <v>999</v>
      </c>
      <c r="G79">
        <v>4</v>
      </c>
      <c r="H79">
        <v>1000</v>
      </c>
      <c r="I79" t="s">
        <v>1000</v>
      </c>
      <c r="J79">
        <f>Table1[[#This Row],[Quantity]]*Table1[[#This Row],[Price]]*(1-Table1[[#This Row],[Discount]])</f>
        <v>3800</v>
      </c>
      <c r="K79">
        <f>VALUE(SUBSTITUTE(Table1[[#This Row],[Discount]],"%",""))/100</f>
        <v>0.05</v>
      </c>
    </row>
    <row r="80" spans="1:11" x14ac:dyDescent="0.35">
      <c r="A80">
        <v>1078</v>
      </c>
      <c r="B80" s="1">
        <v>45580</v>
      </c>
      <c r="C80" t="s">
        <v>1005</v>
      </c>
      <c r="D80" t="s">
        <v>980</v>
      </c>
      <c r="E80" t="s">
        <v>987</v>
      </c>
      <c r="F80" t="s">
        <v>999</v>
      </c>
      <c r="G80">
        <v>1</v>
      </c>
      <c r="H80">
        <v>1000</v>
      </c>
      <c r="I80" t="s">
        <v>1000</v>
      </c>
      <c r="J80">
        <f>Table1[[#This Row],[Quantity]]*Table1[[#This Row],[Price]]*(1-Table1[[#This Row],[Discount]])</f>
        <v>950</v>
      </c>
      <c r="K80">
        <f>VALUE(SUBSTITUTE(Table1[[#This Row],[Discount]],"%",""))/100</f>
        <v>0.05</v>
      </c>
    </row>
    <row r="81" spans="1:11" x14ac:dyDescent="0.35">
      <c r="A81">
        <v>1079</v>
      </c>
      <c r="B81" s="1">
        <v>45598</v>
      </c>
      <c r="C81" t="s">
        <v>84</v>
      </c>
      <c r="D81" t="s">
        <v>981</v>
      </c>
      <c r="E81" t="s">
        <v>996</v>
      </c>
      <c r="F81" t="s">
        <v>999</v>
      </c>
      <c r="G81">
        <v>6</v>
      </c>
      <c r="H81">
        <v>300</v>
      </c>
      <c r="I81" t="s">
        <v>1001</v>
      </c>
      <c r="J81">
        <f>Table1[[#This Row],[Quantity]]*Table1[[#This Row],[Price]]*(1-Table1[[#This Row],[Discount]])</f>
        <v>1800</v>
      </c>
      <c r="K81">
        <f>VALUE(SUBSTITUTE(Table1[[#This Row],[Discount]],"%",""))/100</f>
        <v>0</v>
      </c>
    </row>
    <row r="82" spans="1:11" x14ac:dyDescent="0.35">
      <c r="A82">
        <v>1080</v>
      </c>
      <c r="B82" s="1">
        <v>45665</v>
      </c>
      <c r="C82" t="s">
        <v>85</v>
      </c>
      <c r="D82" t="s">
        <v>978</v>
      </c>
      <c r="E82" t="s">
        <v>996</v>
      </c>
      <c r="F82" t="s">
        <v>999</v>
      </c>
      <c r="G82">
        <v>2</v>
      </c>
      <c r="H82">
        <v>100</v>
      </c>
      <c r="I82" t="s">
        <v>1000</v>
      </c>
      <c r="J82">
        <f>Table1[[#This Row],[Quantity]]*Table1[[#This Row],[Price]]*(1-Table1[[#This Row],[Discount]])</f>
        <v>190</v>
      </c>
      <c r="K82">
        <f>VALUE(SUBSTITUTE(Table1[[#This Row],[Discount]],"%",""))/100</f>
        <v>0.05</v>
      </c>
    </row>
    <row r="83" spans="1:11" x14ac:dyDescent="0.35">
      <c r="A83">
        <v>1081</v>
      </c>
      <c r="B83" s="1">
        <v>45551</v>
      </c>
      <c r="C83" t="s">
        <v>86</v>
      </c>
      <c r="D83" t="s">
        <v>978</v>
      </c>
      <c r="E83" t="s">
        <v>992</v>
      </c>
      <c r="F83" t="s">
        <v>998</v>
      </c>
      <c r="G83">
        <v>9</v>
      </c>
      <c r="H83">
        <v>2500</v>
      </c>
      <c r="I83" t="s">
        <v>1002</v>
      </c>
      <c r="J83">
        <f>Table1[[#This Row],[Quantity]]*Table1[[#This Row],[Price]]*(1-Table1[[#This Row],[Discount]])</f>
        <v>18000</v>
      </c>
      <c r="K83">
        <f>VALUE(SUBSTITUTE(Table1[[#This Row],[Discount]],"%",""))/100</f>
        <v>0.2</v>
      </c>
    </row>
    <row r="84" spans="1:11" x14ac:dyDescent="0.35">
      <c r="A84">
        <v>1082</v>
      </c>
      <c r="B84" s="1">
        <v>45715</v>
      </c>
      <c r="C84" t="s">
        <v>87</v>
      </c>
      <c r="D84" t="s">
        <v>979</v>
      </c>
      <c r="E84" t="s">
        <v>989</v>
      </c>
      <c r="F84" t="s">
        <v>999</v>
      </c>
      <c r="G84">
        <v>7</v>
      </c>
      <c r="H84">
        <v>1000</v>
      </c>
      <c r="I84" t="s">
        <v>1002</v>
      </c>
      <c r="J84">
        <f>Table1[[#This Row],[Quantity]]*Table1[[#This Row],[Price]]*(1-Table1[[#This Row],[Discount]])</f>
        <v>5600</v>
      </c>
      <c r="K84">
        <f>VALUE(SUBSTITUTE(Table1[[#This Row],[Discount]],"%",""))/100</f>
        <v>0.2</v>
      </c>
    </row>
    <row r="85" spans="1:11" x14ac:dyDescent="0.35">
      <c r="A85">
        <v>1083</v>
      </c>
      <c r="B85" s="1">
        <v>45843</v>
      </c>
      <c r="C85" t="s">
        <v>88</v>
      </c>
      <c r="D85" t="s">
        <v>978</v>
      </c>
      <c r="E85" t="s">
        <v>990</v>
      </c>
      <c r="F85" t="s">
        <v>998</v>
      </c>
      <c r="G85">
        <v>5</v>
      </c>
      <c r="H85">
        <v>1354.67</v>
      </c>
      <c r="I85" t="s">
        <v>1000</v>
      </c>
      <c r="J85">
        <f>Table1[[#This Row],[Quantity]]*Table1[[#This Row],[Price]]*(1-Table1[[#This Row],[Discount]])</f>
        <v>6434.6824999999999</v>
      </c>
      <c r="K85">
        <f>VALUE(SUBSTITUTE(Table1[[#This Row],[Discount]],"%",""))/100</f>
        <v>0.05</v>
      </c>
    </row>
    <row r="86" spans="1:11" x14ac:dyDescent="0.35">
      <c r="A86">
        <v>1084</v>
      </c>
      <c r="B86" s="1">
        <v>45644</v>
      </c>
      <c r="C86" t="s">
        <v>89</v>
      </c>
      <c r="D86" t="s">
        <v>978</v>
      </c>
      <c r="E86" t="s">
        <v>989</v>
      </c>
      <c r="F86" t="s">
        <v>999</v>
      </c>
      <c r="G86">
        <v>8</v>
      </c>
      <c r="H86">
        <v>1000</v>
      </c>
      <c r="I86" t="s">
        <v>1001</v>
      </c>
      <c r="J86">
        <f>Table1[[#This Row],[Quantity]]*Table1[[#This Row],[Price]]*(1-Table1[[#This Row],[Discount]])</f>
        <v>8000</v>
      </c>
      <c r="K86">
        <f>VALUE(SUBSTITUTE(Table1[[#This Row],[Discount]],"%",""))/100</f>
        <v>0</v>
      </c>
    </row>
    <row r="87" spans="1:11" x14ac:dyDescent="0.35">
      <c r="A87">
        <v>1085</v>
      </c>
      <c r="B87" s="1">
        <v>45620</v>
      </c>
      <c r="C87" t="s">
        <v>90</v>
      </c>
      <c r="D87" t="s">
        <v>979</v>
      </c>
      <c r="E87" t="s">
        <v>990</v>
      </c>
      <c r="F87" t="s">
        <v>998</v>
      </c>
      <c r="G87">
        <v>5</v>
      </c>
      <c r="H87">
        <v>500</v>
      </c>
      <c r="I87" t="s">
        <v>1003</v>
      </c>
      <c r="J87">
        <f>Table1[[#This Row],[Quantity]]*Table1[[#This Row],[Price]]*(1-Table1[[#This Row],[Discount]])</f>
        <v>2125</v>
      </c>
      <c r="K87">
        <f>VALUE(SUBSTITUTE(Table1[[#This Row],[Discount]],"%",""))/100</f>
        <v>0.15</v>
      </c>
    </row>
    <row r="88" spans="1:11" x14ac:dyDescent="0.35">
      <c r="A88">
        <v>1086</v>
      </c>
      <c r="B88" s="1">
        <v>45516</v>
      </c>
      <c r="C88" t="s">
        <v>91</v>
      </c>
      <c r="D88" t="s">
        <v>981</v>
      </c>
      <c r="E88" t="s">
        <v>992</v>
      </c>
      <c r="F88" t="s">
        <v>998</v>
      </c>
      <c r="G88">
        <v>1</v>
      </c>
      <c r="H88">
        <v>300</v>
      </c>
      <c r="I88" t="s">
        <v>1004</v>
      </c>
      <c r="J88">
        <f>Table1[[#This Row],[Quantity]]*Table1[[#This Row],[Price]]*(1-Table1[[#This Row],[Discount]])</f>
        <v>270</v>
      </c>
      <c r="K88">
        <f>VALUE(SUBSTITUTE(Table1[[#This Row],[Discount]],"%",""))/100</f>
        <v>0.1</v>
      </c>
    </row>
    <row r="89" spans="1:11" x14ac:dyDescent="0.35">
      <c r="A89">
        <v>1087</v>
      </c>
      <c r="B89" s="1">
        <v>45540</v>
      </c>
      <c r="C89" t="s">
        <v>92</v>
      </c>
      <c r="D89" t="s">
        <v>979</v>
      </c>
      <c r="E89" t="s">
        <v>993</v>
      </c>
      <c r="F89" t="s">
        <v>999</v>
      </c>
      <c r="G89">
        <v>9</v>
      </c>
      <c r="H89">
        <v>4500</v>
      </c>
      <c r="I89" t="s">
        <v>1003</v>
      </c>
      <c r="J89">
        <f>Table1[[#This Row],[Quantity]]*Table1[[#This Row],[Price]]*(1-Table1[[#This Row],[Discount]])</f>
        <v>34425</v>
      </c>
      <c r="K89">
        <f>VALUE(SUBSTITUTE(Table1[[#This Row],[Discount]],"%",""))/100</f>
        <v>0.15</v>
      </c>
    </row>
    <row r="90" spans="1:11" x14ac:dyDescent="0.35">
      <c r="A90">
        <v>1088</v>
      </c>
      <c r="B90" s="1">
        <v>45742</v>
      </c>
      <c r="C90" t="s">
        <v>93</v>
      </c>
      <c r="D90" t="s">
        <v>979</v>
      </c>
      <c r="E90" t="s">
        <v>986</v>
      </c>
      <c r="F90" t="s">
        <v>997</v>
      </c>
      <c r="G90">
        <v>1</v>
      </c>
      <c r="H90">
        <v>250</v>
      </c>
      <c r="I90" t="s">
        <v>1000</v>
      </c>
      <c r="J90">
        <f>Table1[[#This Row],[Quantity]]*Table1[[#This Row],[Price]]*(1-Table1[[#This Row],[Discount]])</f>
        <v>237.5</v>
      </c>
      <c r="K90">
        <f>VALUE(SUBSTITUTE(Table1[[#This Row],[Discount]],"%",""))/100</f>
        <v>0.05</v>
      </c>
    </row>
    <row r="91" spans="1:11" x14ac:dyDescent="0.35">
      <c r="A91">
        <v>1089</v>
      </c>
      <c r="B91" s="1">
        <v>45564</v>
      </c>
      <c r="C91" t="s">
        <v>94</v>
      </c>
      <c r="D91" t="s">
        <v>978</v>
      </c>
      <c r="E91" t="s">
        <v>990</v>
      </c>
      <c r="F91" t="s">
        <v>998</v>
      </c>
      <c r="G91">
        <v>8</v>
      </c>
      <c r="H91">
        <v>4500</v>
      </c>
      <c r="I91" t="s">
        <v>1004</v>
      </c>
      <c r="J91">
        <f>Table1[[#This Row],[Quantity]]*Table1[[#This Row],[Price]]*(1-Table1[[#This Row],[Discount]])</f>
        <v>32400</v>
      </c>
      <c r="K91">
        <f>VALUE(SUBSTITUTE(Table1[[#This Row],[Discount]],"%",""))/100</f>
        <v>0.1</v>
      </c>
    </row>
    <row r="92" spans="1:11" x14ac:dyDescent="0.35">
      <c r="A92">
        <v>1090</v>
      </c>
      <c r="B92" s="1">
        <v>45510</v>
      </c>
      <c r="C92" t="s">
        <v>95</v>
      </c>
      <c r="D92" t="s">
        <v>981</v>
      </c>
      <c r="E92" t="s">
        <v>984</v>
      </c>
      <c r="F92" t="s">
        <v>998</v>
      </c>
      <c r="G92">
        <v>6</v>
      </c>
      <c r="H92">
        <v>2500</v>
      </c>
      <c r="I92" t="s">
        <v>1004</v>
      </c>
      <c r="J92">
        <f>Table1[[#This Row],[Quantity]]*Table1[[#This Row],[Price]]*(1-Table1[[#This Row],[Discount]])</f>
        <v>13500</v>
      </c>
      <c r="K92">
        <f>VALUE(SUBSTITUTE(Table1[[#This Row],[Discount]],"%",""))/100</f>
        <v>0.1</v>
      </c>
    </row>
    <row r="93" spans="1:11" x14ac:dyDescent="0.35">
      <c r="A93">
        <v>1091</v>
      </c>
      <c r="B93" s="1">
        <v>45660</v>
      </c>
      <c r="C93" t="s">
        <v>96</v>
      </c>
      <c r="D93" t="s">
        <v>979</v>
      </c>
      <c r="E93" t="s">
        <v>994</v>
      </c>
      <c r="F93" t="s">
        <v>997</v>
      </c>
      <c r="G93">
        <v>5</v>
      </c>
      <c r="H93">
        <v>2500</v>
      </c>
      <c r="I93" t="s">
        <v>1002</v>
      </c>
      <c r="J93">
        <f>Table1[[#This Row],[Quantity]]*Table1[[#This Row],[Price]]*(1-Table1[[#This Row],[Discount]])</f>
        <v>10000</v>
      </c>
      <c r="K93">
        <f>VALUE(SUBSTITUTE(Table1[[#This Row],[Discount]],"%",""))/100</f>
        <v>0.2</v>
      </c>
    </row>
    <row r="94" spans="1:11" x14ac:dyDescent="0.35">
      <c r="A94">
        <v>1092</v>
      </c>
      <c r="B94" s="1">
        <v>45604</v>
      </c>
      <c r="C94" t="s">
        <v>97</v>
      </c>
      <c r="D94" t="s">
        <v>979</v>
      </c>
      <c r="E94" t="s">
        <v>989</v>
      </c>
      <c r="F94" t="s">
        <v>999</v>
      </c>
      <c r="G94">
        <v>1</v>
      </c>
      <c r="H94">
        <v>4500</v>
      </c>
      <c r="I94" t="s">
        <v>1003</v>
      </c>
      <c r="J94">
        <f>Table1[[#This Row],[Quantity]]*Table1[[#This Row],[Price]]*(1-Table1[[#This Row],[Discount]])</f>
        <v>3825</v>
      </c>
      <c r="K94">
        <f>VALUE(SUBSTITUTE(Table1[[#This Row],[Discount]],"%",""))/100</f>
        <v>0.15</v>
      </c>
    </row>
    <row r="95" spans="1:11" x14ac:dyDescent="0.35">
      <c r="A95">
        <v>1093</v>
      </c>
      <c r="B95" s="1">
        <v>45516</v>
      </c>
      <c r="C95" t="s">
        <v>98</v>
      </c>
      <c r="D95" t="s">
        <v>978</v>
      </c>
      <c r="E95" t="s">
        <v>994</v>
      </c>
      <c r="F95" t="s">
        <v>997</v>
      </c>
      <c r="G95">
        <v>1</v>
      </c>
      <c r="H95">
        <v>500</v>
      </c>
      <c r="I95" t="s">
        <v>1004</v>
      </c>
      <c r="J95">
        <f>Table1[[#This Row],[Quantity]]*Table1[[#This Row],[Price]]*(1-Table1[[#This Row],[Discount]])</f>
        <v>450</v>
      </c>
      <c r="K95">
        <f>VALUE(SUBSTITUTE(Table1[[#This Row],[Discount]],"%",""))/100</f>
        <v>0.1</v>
      </c>
    </row>
    <row r="96" spans="1:11" x14ac:dyDescent="0.35">
      <c r="A96">
        <v>1094</v>
      </c>
      <c r="B96" s="1">
        <v>45679</v>
      </c>
      <c r="C96" t="s">
        <v>99</v>
      </c>
      <c r="D96" t="s">
        <v>981</v>
      </c>
      <c r="E96" t="s">
        <v>992</v>
      </c>
      <c r="F96" t="s">
        <v>998</v>
      </c>
      <c r="G96">
        <v>10</v>
      </c>
      <c r="H96">
        <v>500</v>
      </c>
      <c r="I96" t="s">
        <v>1000</v>
      </c>
      <c r="J96">
        <f>Table1[[#This Row],[Quantity]]*Table1[[#This Row],[Price]]*(1-Table1[[#This Row],[Discount]])</f>
        <v>4750</v>
      </c>
      <c r="K96">
        <f>VALUE(SUBSTITUTE(Table1[[#This Row],[Discount]],"%",""))/100</f>
        <v>0.05</v>
      </c>
    </row>
    <row r="97" spans="1:11" x14ac:dyDescent="0.35">
      <c r="A97">
        <v>1095</v>
      </c>
      <c r="B97" s="1">
        <v>45587</v>
      </c>
      <c r="C97" t="s">
        <v>100</v>
      </c>
      <c r="D97" t="s">
        <v>981</v>
      </c>
      <c r="E97" t="s">
        <v>984</v>
      </c>
      <c r="F97" t="s">
        <v>998</v>
      </c>
      <c r="G97">
        <v>2</v>
      </c>
      <c r="H97">
        <v>300</v>
      </c>
      <c r="I97" t="s">
        <v>1003</v>
      </c>
      <c r="J97">
        <f>Table1[[#This Row],[Quantity]]*Table1[[#This Row],[Price]]*(1-Table1[[#This Row],[Discount]])</f>
        <v>510</v>
      </c>
      <c r="K97">
        <f>VALUE(SUBSTITUTE(Table1[[#This Row],[Discount]],"%",""))/100</f>
        <v>0.15</v>
      </c>
    </row>
    <row r="98" spans="1:11" x14ac:dyDescent="0.35">
      <c r="A98">
        <v>1096</v>
      </c>
      <c r="B98" s="1">
        <v>45836</v>
      </c>
      <c r="C98" t="s">
        <v>101</v>
      </c>
      <c r="D98" t="s">
        <v>978</v>
      </c>
      <c r="E98" t="s">
        <v>988</v>
      </c>
      <c r="F98" t="s">
        <v>999</v>
      </c>
      <c r="G98">
        <v>8</v>
      </c>
      <c r="H98">
        <v>300</v>
      </c>
      <c r="I98" t="s">
        <v>1003</v>
      </c>
      <c r="J98">
        <f>Table1[[#This Row],[Quantity]]*Table1[[#This Row],[Price]]*(1-Table1[[#This Row],[Discount]])</f>
        <v>2040</v>
      </c>
      <c r="K98">
        <f>VALUE(SUBSTITUTE(Table1[[#This Row],[Discount]],"%",""))/100</f>
        <v>0.15</v>
      </c>
    </row>
    <row r="99" spans="1:11" x14ac:dyDescent="0.35">
      <c r="A99">
        <v>1097</v>
      </c>
      <c r="B99" s="1">
        <v>45698</v>
      </c>
      <c r="C99" t="s">
        <v>102</v>
      </c>
      <c r="D99" t="s">
        <v>981</v>
      </c>
      <c r="E99" t="s">
        <v>985</v>
      </c>
      <c r="F99" t="s">
        <v>998</v>
      </c>
      <c r="G99">
        <v>7</v>
      </c>
      <c r="H99">
        <v>1500</v>
      </c>
      <c r="I99" t="s">
        <v>1002</v>
      </c>
      <c r="J99">
        <f>Table1[[#This Row],[Quantity]]*Table1[[#This Row],[Price]]*(1-Table1[[#This Row],[Discount]])</f>
        <v>8400</v>
      </c>
      <c r="K99">
        <f>VALUE(SUBSTITUTE(Table1[[#This Row],[Discount]],"%",""))/100</f>
        <v>0.2</v>
      </c>
    </row>
    <row r="100" spans="1:11" x14ac:dyDescent="0.35">
      <c r="A100">
        <v>1098</v>
      </c>
      <c r="B100" s="1">
        <v>45865</v>
      </c>
      <c r="C100" t="s">
        <v>103</v>
      </c>
      <c r="D100" t="s">
        <v>980</v>
      </c>
      <c r="E100" t="s">
        <v>995</v>
      </c>
      <c r="F100" t="s">
        <v>997</v>
      </c>
      <c r="G100">
        <v>8</v>
      </c>
      <c r="H100">
        <v>300</v>
      </c>
      <c r="I100" t="s">
        <v>1003</v>
      </c>
      <c r="J100">
        <f>Table1[[#This Row],[Quantity]]*Table1[[#This Row],[Price]]*(1-Table1[[#This Row],[Discount]])</f>
        <v>2040</v>
      </c>
      <c r="K100">
        <f>VALUE(SUBSTITUTE(Table1[[#This Row],[Discount]],"%",""))/100</f>
        <v>0.15</v>
      </c>
    </row>
    <row r="101" spans="1:11" x14ac:dyDescent="0.35">
      <c r="A101">
        <v>1099</v>
      </c>
      <c r="B101" s="1">
        <v>45726</v>
      </c>
      <c r="C101" t="s">
        <v>104</v>
      </c>
      <c r="D101" t="s">
        <v>980</v>
      </c>
      <c r="E101" t="s">
        <v>993</v>
      </c>
      <c r="F101" t="s">
        <v>999</v>
      </c>
      <c r="G101">
        <v>4</v>
      </c>
      <c r="H101">
        <v>500</v>
      </c>
      <c r="I101" t="s">
        <v>1002</v>
      </c>
      <c r="J101">
        <f>Table1[[#This Row],[Quantity]]*Table1[[#This Row],[Price]]*(1-Table1[[#This Row],[Discount]])</f>
        <v>1600</v>
      </c>
      <c r="K101">
        <f>VALUE(SUBSTITUTE(Table1[[#This Row],[Discount]],"%",""))/100</f>
        <v>0.2</v>
      </c>
    </row>
    <row r="102" spans="1:11" x14ac:dyDescent="0.35">
      <c r="A102">
        <v>1100</v>
      </c>
      <c r="B102" s="1">
        <v>45669</v>
      </c>
      <c r="C102" t="s">
        <v>105</v>
      </c>
      <c r="D102" t="s">
        <v>980</v>
      </c>
      <c r="E102" t="s">
        <v>994</v>
      </c>
      <c r="F102" t="s">
        <v>997</v>
      </c>
      <c r="G102">
        <v>7</v>
      </c>
      <c r="H102">
        <v>2500</v>
      </c>
      <c r="I102" t="s">
        <v>1000</v>
      </c>
      <c r="J102">
        <f>Table1[[#This Row],[Quantity]]*Table1[[#This Row],[Price]]*(1-Table1[[#This Row],[Discount]])</f>
        <v>16625</v>
      </c>
      <c r="K102">
        <f>VALUE(SUBSTITUTE(Table1[[#This Row],[Discount]],"%",""))/100</f>
        <v>0.05</v>
      </c>
    </row>
    <row r="103" spans="1:11" x14ac:dyDescent="0.35">
      <c r="A103">
        <v>1101</v>
      </c>
      <c r="B103" s="1">
        <v>45699</v>
      </c>
      <c r="C103" t="s">
        <v>106</v>
      </c>
      <c r="E103" t="s">
        <v>987</v>
      </c>
      <c r="F103" t="s">
        <v>999</v>
      </c>
      <c r="G103">
        <v>8</v>
      </c>
      <c r="H103">
        <v>250</v>
      </c>
      <c r="I103" t="s">
        <v>1002</v>
      </c>
      <c r="J103">
        <f>Table1[[#This Row],[Quantity]]*Table1[[#This Row],[Price]]*(1-Table1[[#This Row],[Discount]])</f>
        <v>1600</v>
      </c>
      <c r="K103">
        <f>VALUE(SUBSTITUTE(Table1[[#This Row],[Discount]],"%",""))/100</f>
        <v>0.2</v>
      </c>
    </row>
    <row r="104" spans="1:11" x14ac:dyDescent="0.35">
      <c r="A104">
        <v>1102</v>
      </c>
      <c r="B104" s="1">
        <v>45518</v>
      </c>
      <c r="C104" t="s">
        <v>107</v>
      </c>
      <c r="D104" t="s">
        <v>980</v>
      </c>
      <c r="E104" t="s">
        <v>992</v>
      </c>
      <c r="F104" t="s">
        <v>998</v>
      </c>
      <c r="G104">
        <v>8</v>
      </c>
      <c r="H104">
        <v>1000</v>
      </c>
      <c r="I104" t="s">
        <v>1004</v>
      </c>
      <c r="J104">
        <f>Table1[[#This Row],[Quantity]]*Table1[[#This Row],[Price]]*(1-Table1[[#This Row],[Discount]])</f>
        <v>7200</v>
      </c>
      <c r="K104">
        <f>VALUE(SUBSTITUTE(Table1[[#This Row],[Discount]],"%",""))/100</f>
        <v>0.1</v>
      </c>
    </row>
    <row r="105" spans="1:11" x14ac:dyDescent="0.35">
      <c r="A105">
        <v>1103</v>
      </c>
      <c r="B105" s="1">
        <v>45710</v>
      </c>
      <c r="C105" t="s">
        <v>108</v>
      </c>
      <c r="D105" t="s">
        <v>979</v>
      </c>
      <c r="E105" t="s">
        <v>994</v>
      </c>
      <c r="F105" t="s">
        <v>997</v>
      </c>
      <c r="G105">
        <v>6</v>
      </c>
      <c r="H105">
        <v>4500</v>
      </c>
      <c r="I105" t="s">
        <v>1002</v>
      </c>
      <c r="J105">
        <f>Table1[[#This Row],[Quantity]]*Table1[[#This Row],[Price]]*(1-Table1[[#This Row],[Discount]])</f>
        <v>21600</v>
      </c>
      <c r="K105">
        <f>VALUE(SUBSTITUTE(Table1[[#This Row],[Discount]],"%",""))/100</f>
        <v>0.2</v>
      </c>
    </row>
    <row r="106" spans="1:11" x14ac:dyDescent="0.35">
      <c r="A106">
        <v>1104</v>
      </c>
      <c r="B106" s="1">
        <v>45577</v>
      </c>
      <c r="C106" t="s">
        <v>109</v>
      </c>
      <c r="D106" t="s">
        <v>979</v>
      </c>
      <c r="E106" t="s">
        <v>988</v>
      </c>
      <c r="F106" t="s">
        <v>999</v>
      </c>
      <c r="G106">
        <v>2</v>
      </c>
      <c r="H106">
        <v>2500</v>
      </c>
      <c r="I106" t="s">
        <v>1001</v>
      </c>
      <c r="J106">
        <f>Table1[[#This Row],[Quantity]]*Table1[[#This Row],[Price]]*(1-Table1[[#This Row],[Discount]])</f>
        <v>5000</v>
      </c>
      <c r="K106">
        <f>VALUE(SUBSTITUTE(Table1[[#This Row],[Discount]],"%",""))/100</f>
        <v>0</v>
      </c>
    </row>
    <row r="107" spans="1:11" x14ac:dyDescent="0.35">
      <c r="A107">
        <v>1105</v>
      </c>
      <c r="B107" s="1">
        <v>45629</v>
      </c>
      <c r="C107" t="s">
        <v>110</v>
      </c>
      <c r="D107" t="s">
        <v>981</v>
      </c>
      <c r="E107" t="s">
        <v>985</v>
      </c>
      <c r="F107" t="s">
        <v>998</v>
      </c>
      <c r="G107">
        <v>1</v>
      </c>
      <c r="H107">
        <v>1000</v>
      </c>
      <c r="I107" t="s">
        <v>1004</v>
      </c>
      <c r="J107">
        <f>Table1[[#This Row],[Quantity]]*Table1[[#This Row],[Price]]*(1-Table1[[#This Row],[Discount]])</f>
        <v>900</v>
      </c>
      <c r="K107">
        <f>VALUE(SUBSTITUTE(Table1[[#This Row],[Discount]],"%",""))/100</f>
        <v>0.1</v>
      </c>
    </row>
    <row r="108" spans="1:11" x14ac:dyDescent="0.35">
      <c r="A108">
        <v>1106</v>
      </c>
      <c r="B108" s="1">
        <v>45850</v>
      </c>
      <c r="C108" t="s">
        <v>111</v>
      </c>
      <c r="D108" t="s">
        <v>980</v>
      </c>
      <c r="E108" t="s">
        <v>983</v>
      </c>
      <c r="F108" t="s">
        <v>997</v>
      </c>
      <c r="G108">
        <v>3</v>
      </c>
      <c r="H108">
        <v>300</v>
      </c>
      <c r="I108" t="s">
        <v>1001</v>
      </c>
      <c r="J108">
        <f>Table1[[#This Row],[Quantity]]*Table1[[#This Row],[Price]]*(1-Table1[[#This Row],[Discount]])</f>
        <v>900</v>
      </c>
      <c r="K108">
        <f>VALUE(SUBSTITUTE(Table1[[#This Row],[Discount]],"%",""))/100</f>
        <v>0</v>
      </c>
    </row>
    <row r="109" spans="1:11" x14ac:dyDescent="0.35">
      <c r="A109">
        <v>1107</v>
      </c>
      <c r="B109" s="1">
        <v>45657</v>
      </c>
      <c r="C109" t="s">
        <v>112</v>
      </c>
      <c r="D109" t="s">
        <v>981</v>
      </c>
      <c r="E109" t="s">
        <v>990</v>
      </c>
      <c r="F109" t="s">
        <v>998</v>
      </c>
      <c r="G109">
        <v>8</v>
      </c>
      <c r="H109">
        <v>1000</v>
      </c>
      <c r="I109" t="s">
        <v>1003</v>
      </c>
      <c r="J109">
        <f>Table1[[#This Row],[Quantity]]*Table1[[#This Row],[Price]]*(1-Table1[[#This Row],[Discount]])</f>
        <v>6800</v>
      </c>
      <c r="K109">
        <f>VALUE(SUBSTITUTE(Table1[[#This Row],[Discount]],"%",""))/100</f>
        <v>0.15</v>
      </c>
    </row>
    <row r="110" spans="1:11" x14ac:dyDescent="0.35">
      <c r="A110">
        <v>1108</v>
      </c>
      <c r="B110" s="1">
        <v>45759</v>
      </c>
      <c r="C110" t="s">
        <v>113</v>
      </c>
      <c r="D110" t="s">
        <v>981</v>
      </c>
      <c r="E110" t="s">
        <v>989</v>
      </c>
      <c r="F110" t="s">
        <v>999</v>
      </c>
      <c r="G110">
        <v>3</v>
      </c>
      <c r="H110">
        <v>250</v>
      </c>
      <c r="I110" t="s">
        <v>1003</v>
      </c>
      <c r="J110">
        <f>Table1[[#This Row],[Quantity]]*Table1[[#This Row],[Price]]*(1-Table1[[#This Row],[Discount]])</f>
        <v>637.5</v>
      </c>
      <c r="K110">
        <f>VALUE(SUBSTITUTE(Table1[[#This Row],[Discount]],"%",""))/100</f>
        <v>0.15</v>
      </c>
    </row>
    <row r="111" spans="1:11" x14ac:dyDescent="0.35">
      <c r="A111">
        <v>1109</v>
      </c>
      <c r="B111" s="1">
        <v>45740</v>
      </c>
      <c r="C111" t="s">
        <v>114</v>
      </c>
      <c r="D111" t="s">
        <v>980</v>
      </c>
      <c r="E111" t="s">
        <v>986</v>
      </c>
      <c r="F111" t="s">
        <v>997</v>
      </c>
      <c r="G111">
        <v>8</v>
      </c>
      <c r="H111">
        <v>1000</v>
      </c>
      <c r="I111" t="s">
        <v>1000</v>
      </c>
      <c r="J111">
        <f>Table1[[#This Row],[Quantity]]*Table1[[#This Row],[Price]]*(1-Table1[[#This Row],[Discount]])</f>
        <v>7600</v>
      </c>
      <c r="K111">
        <f>VALUE(SUBSTITUTE(Table1[[#This Row],[Discount]],"%",""))/100</f>
        <v>0.05</v>
      </c>
    </row>
    <row r="112" spans="1:11" x14ac:dyDescent="0.35">
      <c r="A112">
        <v>1110</v>
      </c>
      <c r="B112" s="1">
        <v>45619</v>
      </c>
      <c r="C112" t="s">
        <v>115</v>
      </c>
      <c r="D112" t="s">
        <v>980</v>
      </c>
      <c r="E112" t="s">
        <v>989</v>
      </c>
      <c r="F112" t="s">
        <v>999</v>
      </c>
      <c r="G112">
        <v>5</v>
      </c>
      <c r="H112">
        <v>1000</v>
      </c>
      <c r="I112" t="s">
        <v>1001</v>
      </c>
      <c r="J112">
        <f>Table1[[#This Row],[Quantity]]*Table1[[#This Row],[Price]]*(1-Table1[[#This Row],[Discount]])</f>
        <v>5000</v>
      </c>
      <c r="K112">
        <f>VALUE(SUBSTITUTE(Table1[[#This Row],[Discount]],"%",""))/100</f>
        <v>0</v>
      </c>
    </row>
    <row r="113" spans="1:11" x14ac:dyDescent="0.35">
      <c r="A113">
        <v>1111</v>
      </c>
      <c r="B113" s="1">
        <v>45755</v>
      </c>
      <c r="C113" t="s">
        <v>116</v>
      </c>
      <c r="D113" t="s">
        <v>978</v>
      </c>
      <c r="E113" t="s">
        <v>982</v>
      </c>
      <c r="F113" t="s">
        <v>997</v>
      </c>
      <c r="G113">
        <v>10</v>
      </c>
      <c r="H113">
        <v>4500</v>
      </c>
      <c r="I113" t="s">
        <v>1004</v>
      </c>
      <c r="J113">
        <f>Table1[[#This Row],[Quantity]]*Table1[[#This Row],[Price]]*(1-Table1[[#This Row],[Discount]])</f>
        <v>40500</v>
      </c>
      <c r="K113">
        <f>VALUE(SUBSTITUTE(Table1[[#This Row],[Discount]],"%",""))/100</f>
        <v>0.1</v>
      </c>
    </row>
    <row r="114" spans="1:11" x14ac:dyDescent="0.35">
      <c r="A114">
        <v>1112</v>
      </c>
      <c r="B114" s="1">
        <v>45699</v>
      </c>
      <c r="C114" t="s">
        <v>117</v>
      </c>
      <c r="D114" t="s">
        <v>981</v>
      </c>
      <c r="E114" t="s">
        <v>986</v>
      </c>
      <c r="F114" t="s">
        <v>997</v>
      </c>
      <c r="G114">
        <v>3</v>
      </c>
      <c r="H114">
        <v>250</v>
      </c>
      <c r="I114" t="s">
        <v>1001</v>
      </c>
      <c r="J114">
        <f>Table1[[#This Row],[Quantity]]*Table1[[#This Row],[Price]]*(1-Table1[[#This Row],[Discount]])</f>
        <v>750</v>
      </c>
      <c r="K114">
        <f>VALUE(SUBSTITUTE(Table1[[#This Row],[Discount]],"%",""))/100</f>
        <v>0</v>
      </c>
    </row>
    <row r="115" spans="1:11" x14ac:dyDescent="0.35">
      <c r="A115">
        <v>1113</v>
      </c>
      <c r="B115" s="1">
        <v>45566</v>
      </c>
      <c r="C115" t="s">
        <v>118</v>
      </c>
      <c r="D115" t="s">
        <v>978</v>
      </c>
      <c r="E115" t="s">
        <v>992</v>
      </c>
      <c r="F115" t="s">
        <v>998</v>
      </c>
      <c r="G115">
        <v>5</v>
      </c>
      <c r="H115">
        <v>1500</v>
      </c>
      <c r="I115" t="s">
        <v>1003</v>
      </c>
      <c r="J115">
        <f>Table1[[#This Row],[Quantity]]*Table1[[#This Row],[Price]]*(1-Table1[[#This Row],[Discount]])</f>
        <v>6375</v>
      </c>
      <c r="K115">
        <f>VALUE(SUBSTITUTE(Table1[[#This Row],[Discount]],"%",""))/100</f>
        <v>0.15</v>
      </c>
    </row>
    <row r="116" spans="1:11" x14ac:dyDescent="0.35">
      <c r="A116">
        <v>1114</v>
      </c>
      <c r="B116" s="1">
        <v>45741</v>
      </c>
      <c r="C116" t="s">
        <v>119</v>
      </c>
      <c r="D116" t="s">
        <v>981</v>
      </c>
      <c r="E116" t="s">
        <v>989</v>
      </c>
      <c r="F116" t="s">
        <v>999</v>
      </c>
      <c r="G116">
        <v>9</v>
      </c>
      <c r="H116">
        <v>1000</v>
      </c>
      <c r="I116" t="s">
        <v>1000</v>
      </c>
      <c r="J116">
        <f>Table1[[#This Row],[Quantity]]*Table1[[#This Row],[Price]]*(1-Table1[[#This Row],[Discount]])</f>
        <v>8550</v>
      </c>
      <c r="K116">
        <f>VALUE(SUBSTITUTE(Table1[[#This Row],[Discount]],"%",""))/100</f>
        <v>0.05</v>
      </c>
    </row>
    <row r="117" spans="1:11" x14ac:dyDescent="0.35">
      <c r="A117">
        <v>1115</v>
      </c>
      <c r="B117" s="1">
        <v>45762</v>
      </c>
      <c r="C117" t="s">
        <v>120</v>
      </c>
      <c r="D117" t="s">
        <v>978</v>
      </c>
      <c r="E117" t="s">
        <v>993</v>
      </c>
      <c r="F117" t="s">
        <v>999</v>
      </c>
      <c r="G117">
        <v>2</v>
      </c>
      <c r="H117">
        <v>4500</v>
      </c>
      <c r="I117" t="s">
        <v>1001</v>
      </c>
      <c r="J117">
        <f>Table1[[#This Row],[Quantity]]*Table1[[#This Row],[Price]]*(1-Table1[[#This Row],[Discount]])</f>
        <v>9000</v>
      </c>
      <c r="K117">
        <f>VALUE(SUBSTITUTE(Table1[[#This Row],[Discount]],"%",""))/100</f>
        <v>0</v>
      </c>
    </row>
    <row r="118" spans="1:11" x14ac:dyDescent="0.35">
      <c r="A118">
        <v>1116</v>
      </c>
      <c r="B118" s="1">
        <v>45518</v>
      </c>
      <c r="C118" t="s">
        <v>121</v>
      </c>
      <c r="E118" t="s">
        <v>994</v>
      </c>
      <c r="F118" t="s">
        <v>997</v>
      </c>
      <c r="G118">
        <v>9</v>
      </c>
      <c r="H118">
        <v>1500</v>
      </c>
      <c r="I118" t="s">
        <v>1001</v>
      </c>
      <c r="J118">
        <f>Table1[[#This Row],[Quantity]]*Table1[[#This Row],[Price]]*(1-Table1[[#This Row],[Discount]])</f>
        <v>13500</v>
      </c>
      <c r="K118">
        <f>VALUE(SUBSTITUTE(Table1[[#This Row],[Discount]],"%",""))/100</f>
        <v>0</v>
      </c>
    </row>
    <row r="119" spans="1:11" x14ac:dyDescent="0.35">
      <c r="A119">
        <v>1117</v>
      </c>
      <c r="B119" s="1">
        <v>45529</v>
      </c>
      <c r="C119" t="s">
        <v>122</v>
      </c>
      <c r="D119" t="s">
        <v>979</v>
      </c>
      <c r="E119" t="s">
        <v>986</v>
      </c>
      <c r="F119" t="s">
        <v>997</v>
      </c>
      <c r="G119">
        <v>10</v>
      </c>
      <c r="H119">
        <v>2500</v>
      </c>
      <c r="I119" t="s">
        <v>1004</v>
      </c>
      <c r="J119">
        <f>Table1[[#This Row],[Quantity]]*Table1[[#This Row],[Price]]*(1-Table1[[#This Row],[Discount]])</f>
        <v>22500</v>
      </c>
      <c r="K119">
        <f>VALUE(SUBSTITUTE(Table1[[#This Row],[Discount]],"%",""))/100</f>
        <v>0.1</v>
      </c>
    </row>
    <row r="120" spans="1:11" x14ac:dyDescent="0.35">
      <c r="A120">
        <v>1118</v>
      </c>
      <c r="B120" s="1">
        <v>45779</v>
      </c>
      <c r="C120" t="s">
        <v>123</v>
      </c>
      <c r="D120" t="s">
        <v>980</v>
      </c>
      <c r="E120" t="s">
        <v>986</v>
      </c>
      <c r="F120" t="s">
        <v>997</v>
      </c>
      <c r="G120">
        <v>10</v>
      </c>
      <c r="H120">
        <v>500</v>
      </c>
      <c r="I120" t="s">
        <v>1001</v>
      </c>
      <c r="J120">
        <f>Table1[[#This Row],[Quantity]]*Table1[[#This Row],[Price]]*(1-Table1[[#This Row],[Discount]])</f>
        <v>5000</v>
      </c>
      <c r="K120">
        <f>VALUE(SUBSTITUTE(Table1[[#This Row],[Discount]],"%",""))/100</f>
        <v>0</v>
      </c>
    </row>
    <row r="121" spans="1:11" x14ac:dyDescent="0.35">
      <c r="A121">
        <v>1119</v>
      </c>
      <c r="B121" s="1">
        <v>45755</v>
      </c>
      <c r="C121" t="s">
        <v>124</v>
      </c>
      <c r="D121" t="s">
        <v>979</v>
      </c>
      <c r="E121" t="s">
        <v>992</v>
      </c>
      <c r="F121" t="s">
        <v>998</v>
      </c>
      <c r="G121">
        <v>1</v>
      </c>
      <c r="H121">
        <v>1000</v>
      </c>
      <c r="I121" t="s">
        <v>1003</v>
      </c>
      <c r="J121">
        <f>Table1[[#This Row],[Quantity]]*Table1[[#This Row],[Price]]*(1-Table1[[#This Row],[Discount]])</f>
        <v>850</v>
      </c>
      <c r="K121">
        <f>VALUE(SUBSTITUTE(Table1[[#This Row],[Discount]],"%",""))/100</f>
        <v>0.15</v>
      </c>
    </row>
    <row r="122" spans="1:11" x14ac:dyDescent="0.35">
      <c r="A122">
        <v>1120</v>
      </c>
      <c r="B122" s="1">
        <v>45844</v>
      </c>
      <c r="C122" t="s">
        <v>125</v>
      </c>
      <c r="D122" t="s">
        <v>978</v>
      </c>
      <c r="E122" t="s">
        <v>993</v>
      </c>
      <c r="F122" t="s">
        <v>999</v>
      </c>
      <c r="G122">
        <v>9</v>
      </c>
      <c r="H122">
        <v>2500</v>
      </c>
      <c r="I122" t="s">
        <v>1002</v>
      </c>
      <c r="J122">
        <f>Table1[[#This Row],[Quantity]]*Table1[[#This Row],[Price]]*(1-Table1[[#This Row],[Discount]])</f>
        <v>18000</v>
      </c>
      <c r="K122">
        <f>VALUE(SUBSTITUTE(Table1[[#This Row],[Discount]],"%",""))/100</f>
        <v>0.2</v>
      </c>
    </row>
    <row r="123" spans="1:11" x14ac:dyDescent="0.35">
      <c r="A123">
        <v>1121</v>
      </c>
      <c r="B123" s="1">
        <v>45771</v>
      </c>
      <c r="C123" t="s">
        <v>126</v>
      </c>
      <c r="D123" t="s">
        <v>978</v>
      </c>
      <c r="E123" t="s">
        <v>994</v>
      </c>
      <c r="F123" t="s">
        <v>997</v>
      </c>
      <c r="G123">
        <v>5</v>
      </c>
      <c r="H123">
        <v>100</v>
      </c>
      <c r="I123" t="s">
        <v>1004</v>
      </c>
      <c r="J123">
        <f>Table1[[#This Row],[Quantity]]*Table1[[#This Row],[Price]]*(1-Table1[[#This Row],[Discount]])</f>
        <v>450</v>
      </c>
      <c r="K123">
        <f>VALUE(SUBSTITUTE(Table1[[#This Row],[Discount]],"%",""))/100</f>
        <v>0.1</v>
      </c>
    </row>
    <row r="124" spans="1:11" x14ac:dyDescent="0.35">
      <c r="A124">
        <v>1122</v>
      </c>
      <c r="B124" s="1">
        <v>45830</v>
      </c>
      <c r="C124" t="s">
        <v>127</v>
      </c>
      <c r="D124" t="s">
        <v>980</v>
      </c>
      <c r="E124" t="s">
        <v>985</v>
      </c>
      <c r="F124" t="s">
        <v>998</v>
      </c>
      <c r="G124">
        <v>9</v>
      </c>
      <c r="H124">
        <v>1500</v>
      </c>
      <c r="I124" t="s">
        <v>1001</v>
      </c>
      <c r="J124">
        <f>Table1[[#This Row],[Quantity]]*Table1[[#This Row],[Price]]*(1-Table1[[#This Row],[Discount]])</f>
        <v>13500</v>
      </c>
      <c r="K124">
        <f>VALUE(SUBSTITUTE(Table1[[#This Row],[Discount]],"%",""))/100</f>
        <v>0</v>
      </c>
    </row>
    <row r="125" spans="1:11" x14ac:dyDescent="0.35">
      <c r="A125">
        <v>1123</v>
      </c>
      <c r="B125" s="1">
        <v>45707</v>
      </c>
      <c r="C125" t="s">
        <v>128</v>
      </c>
      <c r="D125" t="s">
        <v>981</v>
      </c>
      <c r="E125" t="s">
        <v>987</v>
      </c>
      <c r="F125" t="s">
        <v>999</v>
      </c>
      <c r="G125">
        <v>4</v>
      </c>
      <c r="H125">
        <v>100</v>
      </c>
      <c r="I125" t="s">
        <v>1001</v>
      </c>
      <c r="J125">
        <f>Table1[[#This Row],[Quantity]]*Table1[[#This Row],[Price]]*(1-Table1[[#This Row],[Discount]])</f>
        <v>400</v>
      </c>
      <c r="K125">
        <f>VALUE(SUBSTITUTE(Table1[[#This Row],[Discount]],"%",""))/100</f>
        <v>0</v>
      </c>
    </row>
    <row r="126" spans="1:11" x14ac:dyDescent="0.35">
      <c r="A126">
        <v>1124</v>
      </c>
      <c r="B126" s="1">
        <v>45738</v>
      </c>
      <c r="C126" t="s">
        <v>129</v>
      </c>
      <c r="D126" t="s">
        <v>981</v>
      </c>
      <c r="E126" t="s">
        <v>991</v>
      </c>
      <c r="F126" t="s">
        <v>998</v>
      </c>
      <c r="G126">
        <v>4</v>
      </c>
      <c r="H126">
        <v>500</v>
      </c>
      <c r="I126" t="s">
        <v>1000</v>
      </c>
      <c r="J126">
        <f>Table1[[#This Row],[Quantity]]*Table1[[#This Row],[Price]]*(1-Table1[[#This Row],[Discount]])</f>
        <v>1900</v>
      </c>
      <c r="K126">
        <f>VALUE(SUBSTITUTE(Table1[[#This Row],[Discount]],"%",""))/100</f>
        <v>0.05</v>
      </c>
    </row>
    <row r="127" spans="1:11" x14ac:dyDescent="0.35">
      <c r="A127">
        <v>1125</v>
      </c>
      <c r="B127" s="1">
        <v>45853</v>
      </c>
      <c r="C127" t="s">
        <v>130</v>
      </c>
      <c r="D127" t="s">
        <v>979</v>
      </c>
      <c r="E127" t="s">
        <v>988</v>
      </c>
      <c r="F127" t="s">
        <v>999</v>
      </c>
      <c r="G127">
        <v>3</v>
      </c>
      <c r="H127">
        <v>1000</v>
      </c>
      <c r="I127" t="s">
        <v>1000</v>
      </c>
      <c r="J127">
        <f>Table1[[#This Row],[Quantity]]*Table1[[#This Row],[Price]]*(1-Table1[[#This Row],[Discount]])</f>
        <v>2850</v>
      </c>
      <c r="K127">
        <f>VALUE(SUBSTITUTE(Table1[[#This Row],[Discount]],"%",""))/100</f>
        <v>0.05</v>
      </c>
    </row>
    <row r="128" spans="1:11" x14ac:dyDescent="0.35">
      <c r="A128">
        <v>1126</v>
      </c>
      <c r="B128" s="1">
        <v>45685</v>
      </c>
      <c r="C128" t="s">
        <v>131</v>
      </c>
      <c r="D128" t="s">
        <v>981</v>
      </c>
      <c r="E128" t="s">
        <v>991</v>
      </c>
      <c r="F128" t="s">
        <v>998</v>
      </c>
      <c r="G128">
        <v>6</v>
      </c>
      <c r="H128">
        <v>100</v>
      </c>
      <c r="I128" t="s">
        <v>1000</v>
      </c>
      <c r="J128">
        <f>Table1[[#This Row],[Quantity]]*Table1[[#This Row],[Price]]*(1-Table1[[#This Row],[Discount]])</f>
        <v>570</v>
      </c>
      <c r="K128">
        <f>VALUE(SUBSTITUTE(Table1[[#This Row],[Discount]],"%",""))/100</f>
        <v>0.05</v>
      </c>
    </row>
    <row r="129" spans="1:11" x14ac:dyDescent="0.35">
      <c r="A129">
        <v>1127</v>
      </c>
      <c r="B129" s="1">
        <v>45608</v>
      </c>
      <c r="C129" t="s">
        <v>132</v>
      </c>
      <c r="D129" t="s">
        <v>979</v>
      </c>
      <c r="E129" t="s">
        <v>982</v>
      </c>
      <c r="F129" t="s">
        <v>997</v>
      </c>
      <c r="G129">
        <v>8</v>
      </c>
      <c r="H129">
        <v>4500</v>
      </c>
      <c r="I129" t="s">
        <v>1004</v>
      </c>
      <c r="J129">
        <f>Table1[[#This Row],[Quantity]]*Table1[[#This Row],[Price]]*(1-Table1[[#This Row],[Discount]])</f>
        <v>32400</v>
      </c>
      <c r="K129">
        <f>VALUE(SUBSTITUTE(Table1[[#This Row],[Discount]],"%",""))/100</f>
        <v>0.1</v>
      </c>
    </row>
    <row r="130" spans="1:11" x14ac:dyDescent="0.35">
      <c r="A130">
        <v>1128</v>
      </c>
      <c r="B130" s="1">
        <v>45607</v>
      </c>
      <c r="C130" t="s">
        <v>133</v>
      </c>
      <c r="D130" t="s">
        <v>979</v>
      </c>
      <c r="E130" t="s">
        <v>995</v>
      </c>
      <c r="F130" t="s">
        <v>997</v>
      </c>
      <c r="G130">
        <v>5</v>
      </c>
      <c r="H130">
        <v>4500</v>
      </c>
      <c r="I130" t="s">
        <v>1001</v>
      </c>
      <c r="J130">
        <f>Table1[[#This Row],[Quantity]]*Table1[[#This Row],[Price]]*(1-Table1[[#This Row],[Discount]])</f>
        <v>22500</v>
      </c>
      <c r="K130">
        <f>VALUE(SUBSTITUTE(Table1[[#This Row],[Discount]],"%",""))/100</f>
        <v>0</v>
      </c>
    </row>
    <row r="131" spans="1:11" x14ac:dyDescent="0.35">
      <c r="A131">
        <v>1129</v>
      </c>
      <c r="B131" s="1">
        <v>45631</v>
      </c>
      <c r="C131" t="s">
        <v>134</v>
      </c>
      <c r="D131" t="s">
        <v>981</v>
      </c>
      <c r="E131" t="s">
        <v>984</v>
      </c>
      <c r="F131" t="s">
        <v>998</v>
      </c>
      <c r="G131">
        <v>8</v>
      </c>
      <c r="H131">
        <v>250</v>
      </c>
      <c r="I131" t="s">
        <v>1001</v>
      </c>
      <c r="J131">
        <f>Table1[[#This Row],[Quantity]]*Table1[[#This Row],[Price]]*(1-Table1[[#This Row],[Discount]])</f>
        <v>2000</v>
      </c>
      <c r="K131">
        <f>VALUE(SUBSTITUTE(Table1[[#This Row],[Discount]],"%",""))/100</f>
        <v>0</v>
      </c>
    </row>
    <row r="132" spans="1:11" x14ac:dyDescent="0.35">
      <c r="A132">
        <v>1130</v>
      </c>
      <c r="B132" s="1">
        <v>45590</v>
      </c>
      <c r="C132" t="s">
        <v>135</v>
      </c>
      <c r="D132" t="s">
        <v>981</v>
      </c>
      <c r="E132" t="s">
        <v>995</v>
      </c>
      <c r="F132" t="s">
        <v>997</v>
      </c>
      <c r="G132">
        <v>9</v>
      </c>
      <c r="H132">
        <v>1500</v>
      </c>
      <c r="I132" t="s">
        <v>1003</v>
      </c>
      <c r="J132">
        <f>Table1[[#This Row],[Quantity]]*Table1[[#This Row],[Price]]*(1-Table1[[#This Row],[Discount]])</f>
        <v>11475</v>
      </c>
      <c r="K132">
        <f>VALUE(SUBSTITUTE(Table1[[#This Row],[Discount]],"%",""))/100</f>
        <v>0.15</v>
      </c>
    </row>
    <row r="133" spans="1:11" x14ac:dyDescent="0.35">
      <c r="A133">
        <v>1131</v>
      </c>
      <c r="B133" s="1">
        <v>45662</v>
      </c>
      <c r="C133" t="s">
        <v>136</v>
      </c>
      <c r="D133" t="s">
        <v>980</v>
      </c>
      <c r="E133" t="s">
        <v>982</v>
      </c>
      <c r="F133" t="s">
        <v>997</v>
      </c>
      <c r="G133">
        <v>9</v>
      </c>
      <c r="H133">
        <v>500</v>
      </c>
      <c r="I133" t="s">
        <v>1003</v>
      </c>
      <c r="J133">
        <f>Table1[[#This Row],[Quantity]]*Table1[[#This Row],[Price]]*(1-Table1[[#This Row],[Discount]])</f>
        <v>3825</v>
      </c>
      <c r="K133">
        <f>VALUE(SUBSTITUTE(Table1[[#This Row],[Discount]],"%",""))/100</f>
        <v>0.15</v>
      </c>
    </row>
    <row r="134" spans="1:11" x14ac:dyDescent="0.35">
      <c r="A134">
        <v>1132</v>
      </c>
      <c r="B134" s="1">
        <v>45581</v>
      </c>
      <c r="C134" t="s">
        <v>137</v>
      </c>
      <c r="D134" t="s">
        <v>981</v>
      </c>
      <c r="E134" t="s">
        <v>996</v>
      </c>
      <c r="F134" t="s">
        <v>999</v>
      </c>
      <c r="G134">
        <v>2</v>
      </c>
      <c r="H134">
        <v>1500</v>
      </c>
      <c r="I134" t="s">
        <v>1003</v>
      </c>
      <c r="J134">
        <f>Table1[[#This Row],[Quantity]]*Table1[[#This Row],[Price]]*(1-Table1[[#This Row],[Discount]])</f>
        <v>2550</v>
      </c>
      <c r="K134">
        <f>VALUE(SUBSTITUTE(Table1[[#This Row],[Discount]],"%",""))/100</f>
        <v>0.15</v>
      </c>
    </row>
    <row r="135" spans="1:11" x14ac:dyDescent="0.35">
      <c r="A135">
        <v>1133</v>
      </c>
      <c r="B135" s="1">
        <v>45771</v>
      </c>
      <c r="C135" t="s">
        <v>138</v>
      </c>
      <c r="D135" t="s">
        <v>980</v>
      </c>
      <c r="E135" t="s">
        <v>987</v>
      </c>
      <c r="F135" t="s">
        <v>999</v>
      </c>
      <c r="G135">
        <v>2</v>
      </c>
      <c r="H135">
        <v>250</v>
      </c>
      <c r="I135" t="s">
        <v>1001</v>
      </c>
      <c r="J135">
        <f>Table1[[#This Row],[Quantity]]*Table1[[#This Row],[Price]]*(1-Table1[[#This Row],[Discount]])</f>
        <v>500</v>
      </c>
      <c r="K135">
        <f>VALUE(SUBSTITUTE(Table1[[#This Row],[Discount]],"%",""))/100</f>
        <v>0</v>
      </c>
    </row>
    <row r="136" spans="1:11" x14ac:dyDescent="0.35">
      <c r="A136">
        <v>1134</v>
      </c>
      <c r="B136" s="1">
        <v>45686</v>
      </c>
      <c r="C136" t="s">
        <v>139</v>
      </c>
      <c r="D136" t="s">
        <v>980</v>
      </c>
      <c r="E136" t="s">
        <v>982</v>
      </c>
      <c r="F136" t="s">
        <v>997</v>
      </c>
      <c r="G136">
        <v>10</v>
      </c>
      <c r="H136">
        <v>1500</v>
      </c>
      <c r="I136" t="s">
        <v>1001</v>
      </c>
      <c r="J136">
        <f>Table1[[#This Row],[Quantity]]*Table1[[#This Row],[Price]]*(1-Table1[[#This Row],[Discount]])</f>
        <v>15000</v>
      </c>
      <c r="K136">
        <f>VALUE(SUBSTITUTE(Table1[[#This Row],[Discount]],"%",""))/100</f>
        <v>0</v>
      </c>
    </row>
    <row r="137" spans="1:11" x14ac:dyDescent="0.35">
      <c r="A137">
        <v>1135</v>
      </c>
      <c r="B137" s="1">
        <v>45832</v>
      </c>
      <c r="C137" t="s">
        <v>140</v>
      </c>
      <c r="D137" t="s">
        <v>979</v>
      </c>
      <c r="E137" t="s">
        <v>982</v>
      </c>
      <c r="F137" t="s">
        <v>997</v>
      </c>
      <c r="G137">
        <v>5</v>
      </c>
      <c r="H137">
        <v>1000</v>
      </c>
      <c r="I137" t="s">
        <v>1004</v>
      </c>
      <c r="J137">
        <f>Table1[[#This Row],[Quantity]]*Table1[[#This Row],[Price]]*(1-Table1[[#This Row],[Discount]])</f>
        <v>4500</v>
      </c>
      <c r="K137">
        <f>VALUE(SUBSTITUTE(Table1[[#This Row],[Discount]],"%",""))/100</f>
        <v>0.1</v>
      </c>
    </row>
    <row r="138" spans="1:11" x14ac:dyDescent="0.35">
      <c r="A138">
        <v>1136</v>
      </c>
      <c r="B138" s="1">
        <v>45786</v>
      </c>
      <c r="C138" t="s">
        <v>141</v>
      </c>
      <c r="D138" t="s">
        <v>981</v>
      </c>
      <c r="E138" t="s">
        <v>992</v>
      </c>
      <c r="F138" t="s">
        <v>998</v>
      </c>
      <c r="G138">
        <v>6</v>
      </c>
      <c r="H138">
        <v>1500</v>
      </c>
      <c r="I138" t="s">
        <v>1001</v>
      </c>
      <c r="J138">
        <f>Table1[[#This Row],[Quantity]]*Table1[[#This Row],[Price]]*(1-Table1[[#This Row],[Discount]])</f>
        <v>9000</v>
      </c>
      <c r="K138">
        <f>VALUE(SUBSTITUTE(Table1[[#This Row],[Discount]],"%",""))/100</f>
        <v>0</v>
      </c>
    </row>
    <row r="139" spans="1:11" x14ac:dyDescent="0.35">
      <c r="A139">
        <v>1137</v>
      </c>
      <c r="B139" s="1">
        <v>45586</v>
      </c>
      <c r="C139" t="s">
        <v>142</v>
      </c>
      <c r="E139" t="s">
        <v>995</v>
      </c>
      <c r="F139" t="s">
        <v>997</v>
      </c>
      <c r="G139">
        <v>9</v>
      </c>
      <c r="H139">
        <v>100</v>
      </c>
      <c r="I139" t="s">
        <v>1002</v>
      </c>
      <c r="J139">
        <f>Table1[[#This Row],[Quantity]]*Table1[[#This Row],[Price]]*(1-Table1[[#This Row],[Discount]])</f>
        <v>720</v>
      </c>
      <c r="K139">
        <f>VALUE(SUBSTITUTE(Table1[[#This Row],[Discount]],"%",""))/100</f>
        <v>0.2</v>
      </c>
    </row>
    <row r="140" spans="1:11" x14ac:dyDescent="0.35">
      <c r="A140">
        <v>1138</v>
      </c>
      <c r="B140" s="1">
        <v>45760</v>
      </c>
      <c r="C140" t="s">
        <v>143</v>
      </c>
      <c r="D140" t="s">
        <v>980</v>
      </c>
      <c r="E140" t="s">
        <v>993</v>
      </c>
      <c r="F140" t="s">
        <v>999</v>
      </c>
      <c r="G140">
        <v>1</v>
      </c>
      <c r="H140">
        <v>300</v>
      </c>
      <c r="I140" t="s">
        <v>1000</v>
      </c>
      <c r="J140">
        <f>Table1[[#This Row],[Quantity]]*Table1[[#This Row],[Price]]*(1-Table1[[#This Row],[Discount]])</f>
        <v>285</v>
      </c>
      <c r="K140">
        <f>VALUE(SUBSTITUTE(Table1[[#This Row],[Discount]],"%",""))/100</f>
        <v>0.05</v>
      </c>
    </row>
    <row r="141" spans="1:11" x14ac:dyDescent="0.35">
      <c r="A141">
        <v>1139</v>
      </c>
      <c r="B141" s="1">
        <v>45682</v>
      </c>
      <c r="C141" t="s">
        <v>144</v>
      </c>
      <c r="D141" t="s">
        <v>980</v>
      </c>
      <c r="E141" t="s">
        <v>991</v>
      </c>
      <c r="F141" t="s">
        <v>998</v>
      </c>
      <c r="G141">
        <v>4</v>
      </c>
      <c r="H141">
        <v>2500</v>
      </c>
      <c r="I141" t="s">
        <v>1003</v>
      </c>
      <c r="J141">
        <f>Table1[[#This Row],[Quantity]]*Table1[[#This Row],[Price]]*(1-Table1[[#This Row],[Discount]])</f>
        <v>8500</v>
      </c>
      <c r="K141">
        <f>VALUE(SUBSTITUTE(Table1[[#This Row],[Discount]],"%",""))/100</f>
        <v>0.15</v>
      </c>
    </row>
    <row r="142" spans="1:11" x14ac:dyDescent="0.35">
      <c r="A142">
        <v>1140</v>
      </c>
      <c r="B142" s="1">
        <v>45853</v>
      </c>
      <c r="C142" t="s">
        <v>145</v>
      </c>
      <c r="D142" t="s">
        <v>978</v>
      </c>
      <c r="E142" t="s">
        <v>995</v>
      </c>
      <c r="F142" t="s">
        <v>997</v>
      </c>
      <c r="G142">
        <v>2</v>
      </c>
      <c r="H142">
        <v>100</v>
      </c>
      <c r="I142" t="s">
        <v>1000</v>
      </c>
      <c r="J142">
        <f>Table1[[#This Row],[Quantity]]*Table1[[#This Row],[Price]]*(1-Table1[[#This Row],[Discount]])</f>
        <v>190</v>
      </c>
      <c r="K142">
        <f>VALUE(SUBSTITUTE(Table1[[#This Row],[Discount]],"%",""))/100</f>
        <v>0.05</v>
      </c>
    </row>
    <row r="143" spans="1:11" x14ac:dyDescent="0.35">
      <c r="A143">
        <v>1141</v>
      </c>
      <c r="B143" s="1">
        <v>45750</v>
      </c>
      <c r="C143" t="s">
        <v>146</v>
      </c>
      <c r="D143" t="s">
        <v>981</v>
      </c>
      <c r="E143" t="s">
        <v>996</v>
      </c>
      <c r="F143" t="s">
        <v>999</v>
      </c>
      <c r="G143">
        <v>8</v>
      </c>
      <c r="H143">
        <v>4500</v>
      </c>
      <c r="I143" t="s">
        <v>1003</v>
      </c>
      <c r="J143">
        <f>Table1[[#This Row],[Quantity]]*Table1[[#This Row],[Price]]*(1-Table1[[#This Row],[Discount]])</f>
        <v>30600</v>
      </c>
      <c r="K143">
        <f>VALUE(SUBSTITUTE(Table1[[#This Row],[Discount]],"%",""))/100</f>
        <v>0.15</v>
      </c>
    </row>
    <row r="144" spans="1:11" x14ac:dyDescent="0.35">
      <c r="A144">
        <v>1142</v>
      </c>
      <c r="B144" s="1">
        <v>45602</v>
      </c>
      <c r="C144" t="s">
        <v>147</v>
      </c>
      <c r="D144" t="s">
        <v>981</v>
      </c>
      <c r="E144" t="s">
        <v>985</v>
      </c>
      <c r="F144" t="s">
        <v>998</v>
      </c>
      <c r="G144">
        <v>10</v>
      </c>
      <c r="H144">
        <v>4500</v>
      </c>
      <c r="I144" t="s">
        <v>1002</v>
      </c>
      <c r="J144">
        <f>Table1[[#This Row],[Quantity]]*Table1[[#This Row],[Price]]*(1-Table1[[#This Row],[Discount]])</f>
        <v>36000</v>
      </c>
      <c r="K144">
        <f>VALUE(SUBSTITUTE(Table1[[#This Row],[Discount]],"%",""))/100</f>
        <v>0.2</v>
      </c>
    </row>
    <row r="145" spans="1:11" x14ac:dyDescent="0.35">
      <c r="A145">
        <v>1143</v>
      </c>
      <c r="B145" s="1">
        <v>45796</v>
      </c>
      <c r="C145" t="s">
        <v>148</v>
      </c>
      <c r="D145" t="s">
        <v>981</v>
      </c>
      <c r="E145" t="s">
        <v>990</v>
      </c>
      <c r="F145" t="s">
        <v>998</v>
      </c>
      <c r="G145">
        <v>5</v>
      </c>
      <c r="H145">
        <v>500</v>
      </c>
      <c r="I145" t="s">
        <v>1000</v>
      </c>
      <c r="J145">
        <f>Table1[[#This Row],[Quantity]]*Table1[[#This Row],[Price]]*(1-Table1[[#This Row],[Discount]])</f>
        <v>2375</v>
      </c>
      <c r="K145">
        <f>VALUE(SUBSTITUTE(Table1[[#This Row],[Discount]],"%",""))/100</f>
        <v>0.05</v>
      </c>
    </row>
    <row r="146" spans="1:11" x14ac:dyDescent="0.35">
      <c r="A146">
        <v>1144</v>
      </c>
      <c r="B146" s="1">
        <v>45664</v>
      </c>
      <c r="C146" t="s">
        <v>149</v>
      </c>
      <c r="D146" t="s">
        <v>978</v>
      </c>
      <c r="E146" t="s">
        <v>988</v>
      </c>
      <c r="F146" t="s">
        <v>999</v>
      </c>
      <c r="G146">
        <v>3</v>
      </c>
      <c r="H146">
        <v>2500</v>
      </c>
      <c r="I146" t="s">
        <v>1002</v>
      </c>
      <c r="J146">
        <f>Table1[[#This Row],[Quantity]]*Table1[[#This Row],[Price]]*(1-Table1[[#This Row],[Discount]])</f>
        <v>6000</v>
      </c>
      <c r="K146">
        <f>VALUE(SUBSTITUTE(Table1[[#This Row],[Discount]],"%",""))/100</f>
        <v>0.2</v>
      </c>
    </row>
    <row r="147" spans="1:11" x14ac:dyDescent="0.35">
      <c r="A147">
        <v>1145</v>
      </c>
      <c r="B147" s="1">
        <v>45710</v>
      </c>
      <c r="C147" t="s">
        <v>150</v>
      </c>
      <c r="D147" t="s">
        <v>980</v>
      </c>
      <c r="E147" t="s">
        <v>984</v>
      </c>
      <c r="F147" t="s">
        <v>998</v>
      </c>
      <c r="G147">
        <v>1</v>
      </c>
      <c r="H147">
        <v>2500</v>
      </c>
      <c r="I147" t="s">
        <v>1001</v>
      </c>
      <c r="J147">
        <f>Table1[[#This Row],[Quantity]]*Table1[[#This Row],[Price]]*(1-Table1[[#This Row],[Discount]])</f>
        <v>2500</v>
      </c>
      <c r="K147">
        <f>VALUE(SUBSTITUTE(Table1[[#This Row],[Discount]],"%",""))/100</f>
        <v>0</v>
      </c>
    </row>
    <row r="148" spans="1:11" x14ac:dyDescent="0.35">
      <c r="A148">
        <v>1146</v>
      </c>
      <c r="B148" s="1">
        <v>45527</v>
      </c>
      <c r="C148" t="s">
        <v>151</v>
      </c>
      <c r="E148" t="s">
        <v>994</v>
      </c>
      <c r="F148" t="s">
        <v>997</v>
      </c>
      <c r="G148">
        <v>7</v>
      </c>
      <c r="H148">
        <v>1000</v>
      </c>
      <c r="I148" t="s">
        <v>1001</v>
      </c>
      <c r="J148">
        <f>Table1[[#This Row],[Quantity]]*Table1[[#This Row],[Price]]*(1-Table1[[#This Row],[Discount]])</f>
        <v>7000</v>
      </c>
      <c r="K148">
        <f>VALUE(SUBSTITUTE(Table1[[#This Row],[Discount]],"%",""))/100</f>
        <v>0</v>
      </c>
    </row>
    <row r="149" spans="1:11" x14ac:dyDescent="0.35">
      <c r="A149">
        <v>1147</v>
      </c>
      <c r="B149" s="1">
        <v>45597</v>
      </c>
      <c r="C149" t="s">
        <v>152</v>
      </c>
      <c r="D149" t="s">
        <v>979</v>
      </c>
      <c r="E149" t="s">
        <v>994</v>
      </c>
      <c r="F149" t="s">
        <v>997</v>
      </c>
      <c r="G149">
        <v>6</v>
      </c>
      <c r="H149">
        <v>250</v>
      </c>
      <c r="I149" t="s">
        <v>1003</v>
      </c>
      <c r="J149">
        <f>Table1[[#This Row],[Quantity]]*Table1[[#This Row],[Price]]*(1-Table1[[#This Row],[Discount]])</f>
        <v>1275</v>
      </c>
      <c r="K149">
        <f>VALUE(SUBSTITUTE(Table1[[#This Row],[Discount]],"%",""))/100</f>
        <v>0.15</v>
      </c>
    </row>
    <row r="150" spans="1:11" x14ac:dyDescent="0.35">
      <c r="A150">
        <v>1148</v>
      </c>
      <c r="B150" s="1">
        <v>45550</v>
      </c>
      <c r="C150" t="s">
        <v>153</v>
      </c>
      <c r="D150" t="s">
        <v>978</v>
      </c>
      <c r="E150" t="s">
        <v>993</v>
      </c>
      <c r="F150" t="s">
        <v>999</v>
      </c>
      <c r="G150">
        <v>6</v>
      </c>
      <c r="H150">
        <v>500</v>
      </c>
      <c r="I150" t="s">
        <v>1004</v>
      </c>
      <c r="J150">
        <f>Table1[[#This Row],[Quantity]]*Table1[[#This Row],[Price]]*(1-Table1[[#This Row],[Discount]])</f>
        <v>2700</v>
      </c>
      <c r="K150">
        <f>VALUE(SUBSTITUTE(Table1[[#This Row],[Discount]],"%",""))/100</f>
        <v>0.1</v>
      </c>
    </row>
    <row r="151" spans="1:11" x14ac:dyDescent="0.35">
      <c r="A151">
        <v>1149</v>
      </c>
      <c r="B151" s="1">
        <v>45681</v>
      </c>
      <c r="C151" t="s">
        <v>154</v>
      </c>
      <c r="D151" t="s">
        <v>979</v>
      </c>
      <c r="E151" t="s">
        <v>985</v>
      </c>
      <c r="F151" t="s">
        <v>998</v>
      </c>
      <c r="G151">
        <v>6</v>
      </c>
      <c r="H151">
        <v>300</v>
      </c>
      <c r="I151" t="s">
        <v>1000</v>
      </c>
      <c r="J151">
        <f>Table1[[#This Row],[Quantity]]*Table1[[#This Row],[Price]]*(1-Table1[[#This Row],[Discount]])</f>
        <v>1710</v>
      </c>
      <c r="K151">
        <f>VALUE(SUBSTITUTE(Table1[[#This Row],[Discount]],"%",""))/100</f>
        <v>0.05</v>
      </c>
    </row>
    <row r="152" spans="1:11" x14ac:dyDescent="0.35">
      <c r="A152">
        <v>1150</v>
      </c>
      <c r="B152" s="1">
        <v>45736</v>
      </c>
      <c r="C152" t="s">
        <v>155</v>
      </c>
      <c r="D152" t="s">
        <v>980</v>
      </c>
      <c r="E152" t="s">
        <v>982</v>
      </c>
      <c r="F152" t="s">
        <v>997</v>
      </c>
      <c r="G152">
        <v>3</v>
      </c>
      <c r="H152">
        <v>4500</v>
      </c>
      <c r="I152" t="s">
        <v>1003</v>
      </c>
      <c r="J152">
        <f>Table1[[#This Row],[Quantity]]*Table1[[#This Row],[Price]]*(1-Table1[[#This Row],[Discount]])</f>
        <v>11475</v>
      </c>
      <c r="K152">
        <f>VALUE(SUBSTITUTE(Table1[[#This Row],[Discount]],"%",""))/100</f>
        <v>0.15</v>
      </c>
    </row>
    <row r="153" spans="1:11" x14ac:dyDescent="0.35">
      <c r="A153">
        <v>1151</v>
      </c>
      <c r="B153" s="1">
        <v>45564</v>
      </c>
      <c r="C153" t="s">
        <v>156</v>
      </c>
      <c r="D153" t="s">
        <v>979</v>
      </c>
      <c r="E153" t="s">
        <v>986</v>
      </c>
      <c r="F153" t="s">
        <v>997</v>
      </c>
      <c r="G153">
        <v>6</v>
      </c>
      <c r="H153">
        <v>300</v>
      </c>
      <c r="I153" t="s">
        <v>1003</v>
      </c>
      <c r="J153">
        <f>Table1[[#This Row],[Quantity]]*Table1[[#This Row],[Price]]*(1-Table1[[#This Row],[Discount]])</f>
        <v>1530</v>
      </c>
      <c r="K153">
        <f>VALUE(SUBSTITUTE(Table1[[#This Row],[Discount]],"%",""))/100</f>
        <v>0.15</v>
      </c>
    </row>
    <row r="154" spans="1:11" x14ac:dyDescent="0.35">
      <c r="A154">
        <v>1152</v>
      </c>
      <c r="B154" s="1">
        <v>45622</v>
      </c>
      <c r="C154" t="s">
        <v>157</v>
      </c>
      <c r="D154" t="s">
        <v>980</v>
      </c>
      <c r="E154" t="s">
        <v>982</v>
      </c>
      <c r="F154" t="s">
        <v>997</v>
      </c>
      <c r="G154">
        <v>6</v>
      </c>
      <c r="H154">
        <v>250</v>
      </c>
      <c r="I154" t="s">
        <v>1004</v>
      </c>
      <c r="J154">
        <f>Table1[[#This Row],[Quantity]]*Table1[[#This Row],[Price]]*(1-Table1[[#This Row],[Discount]])</f>
        <v>1350</v>
      </c>
      <c r="K154">
        <f>VALUE(SUBSTITUTE(Table1[[#This Row],[Discount]],"%",""))/100</f>
        <v>0.1</v>
      </c>
    </row>
    <row r="155" spans="1:11" x14ac:dyDescent="0.35">
      <c r="A155">
        <v>1153</v>
      </c>
      <c r="B155" s="1">
        <v>45866</v>
      </c>
      <c r="C155" t="s">
        <v>158</v>
      </c>
      <c r="D155" t="s">
        <v>979</v>
      </c>
      <c r="E155" t="s">
        <v>992</v>
      </c>
      <c r="F155" t="s">
        <v>998</v>
      </c>
      <c r="G155">
        <v>10</v>
      </c>
      <c r="H155">
        <v>2500</v>
      </c>
      <c r="I155" t="s">
        <v>1003</v>
      </c>
      <c r="J155">
        <f>Table1[[#This Row],[Quantity]]*Table1[[#This Row],[Price]]*(1-Table1[[#This Row],[Discount]])</f>
        <v>21250</v>
      </c>
      <c r="K155">
        <f>VALUE(SUBSTITUTE(Table1[[#This Row],[Discount]],"%",""))/100</f>
        <v>0.15</v>
      </c>
    </row>
    <row r="156" spans="1:11" x14ac:dyDescent="0.35">
      <c r="A156">
        <v>1154</v>
      </c>
      <c r="B156" s="1">
        <v>45744</v>
      </c>
      <c r="C156" t="s">
        <v>159</v>
      </c>
      <c r="D156" t="s">
        <v>980</v>
      </c>
      <c r="E156" t="s">
        <v>989</v>
      </c>
      <c r="F156" t="s">
        <v>999</v>
      </c>
      <c r="G156">
        <v>8</v>
      </c>
      <c r="H156">
        <v>300</v>
      </c>
      <c r="I156" t="s">
        <v>1001</v>
      </c>
      <c r="J156">
        <f>Table1[[#This Row],[Quantity]]*Table1[[#This Row],[Price]]*(1-Table1[[#This Row],[Discount]])</f>
        <v>2400</v>
      </c>
      <c r="K156">
        <f>VALUE(SUBSTITUTE(Table1[[#This Row],[Discount]],"%",""))/100</f>
        <v>0</v>
      </c>
    </row>
    <row r="157" spans="1:11" x14ac:dyDescent="0.35">
      <c r="A157">
        <v>1155</v>
      </c>
      <c r="B157" s="1">
        <v>45766</v>
      </c>
      <c r="C157" t="s">
        <v>160</v>
      </c>
      <c r="D157" t="s">
        <v>978</v>
      </c>
      <c r="E157" t="s">
        <v>982</v>
      </c>
      <c r="F157" t="s">
        <v>997</v>
      </c>
      <c r="G157">
        <v>9</v>
      </c>
      <c r="H157">
        <v>300</v>
      </c>
      <c r="I157" t="s">
        <v>1001</v>
      </c>
      <c r="J157">
        <f>Table1[[#This Row],[Quantity]]*Table1[[#This Row],[Price]]*(1-Table1[[#This Row],[Discount]])</f>
        <v>2700</v>
      </c>
      <c r="K157">
        <f>VALUE(SUBSTITUTE(Table1[[#This Row],[Discount]],"%",""))/100</f>
        <v>0</v>
      </c>
    </row>
    <row r="158" spans="1:11" x14ac:dyDescent="0.35">
      <c r="A158">
        <v>1156</v>
      </c>
      <c r="B158" s="1">
        <v>45804</v>
      </c>
      <c r="C158" t="s">
        <v>161</v>
      </c>
      <c r="D158" t="s">
        <v>980</v>
      </c>
      <c r="E158" t="s">
        <v>983</v>
      </c>
      <c r="F158" t="s">
        <v>997</v>
      </c>
      <c r="G158">
        <v>6</v>
      </c>
      <c r="H158">
        <v>1500</v>
      </c>
      <c r="I158" t="s">
        <v>1004</v>
      </c>
      <c r="J158">
        <f>Table1[[#This Row],[Quantity]]*Table1[[#This Row],[Price]]*(1-Table1[[#This Row],[Discount]])</f>
        <v>8100</v>
      </c>
      <c r="K158">
        <f>VALUE(SUBSTITUTE(Table1[[#This Row],[Discount]],"%",""))/100</f>
        <v>0.1</v>
      </c>
    </row>
    <row r="159" spans="1:11" x14ac:dyDescent="0.35">
      <c r="A159">
        <v>1157</v>
      </c>
      <c r="B159" s="1">
        <v>45527</v>
      </c>
      <c r="C159" t="s">
        <v>162</v>
      </c>
      <c r="D159" t="s">
        <v>980</v>
      </c>
      <c r="E159" t="s">
        <v>986</v>
      </c>
      <c r="F159" t="s">
        <v>997</v>
      </c>
      <c r="G159">
        <v>2</v>
      </c>
      <c r="H159">
        <v>1500</v>
      </c>
      <c r="I159" t="s">
        <v>1001</v>
      </c>
      <c r="J159">
        <f>Table1[[#This Row],[Quantity]]*Table1[[#This Row],[Price]]*(1-Table1[[#This Row],[Discount]])</f>
        <v>3000</v>
      </c>
      <c r="K159">
        <f>VALUE(SUBSTITUTE(Table1[[#This Row],[Discount]],"%",""))/100</f>
        <v>0</v>
      </c>
    </row>
    <row r="160" spans="1:11" x14ac:dyDescent="0.35">
      <c r="A160">
        <v>1158</v>
      </c>
      <c r="B160" s="1">
        <v>45820</v>
      </c>
      <c r="C160" t="s">
        <v>163</v>
      </c>
      <c r="D160" t="s">
        <v>978</v>
      </c>
      <c r="E160" t="s">
        <v>983</v>
      </c>
      <c r="F160" t="s">
        <v>997</v>
      </c>
      <c r="G160">
        <v>6</v>
      </c>
      <c r="H160">
        <v>250</v>
      </c>
      <c r="I160" t="s">
        <v>1002</v>
      </c>
      <c r="J160">
        <f>Table1[[#This Row],[Quantity]]*Table1[[#This Row],[Price]]*(1-Table1[[#This Row],[Discount]])</f>
        <v>1200</v>
      </c>
      <c r="K160">
        <f>VALUE(SUBSTITUTE(Table1[[#This Row],[Discount]],"%",""))/100</f>
        <v>0.2</v>
      </c>
    </row>
    <row r="161" spans="1:11" x14ac:dyDescent="0.35">
      <c r="A161">
        <v>1159</v>
      </c>
      <c r="B161" s="1">
        <v>45679</v>
      </c>
      <c r="C161" t="s">
        <v>164</v>
      </c>
      <c r="D161" t="s">
        <v>980</v>
      </c>
      <c r="E161" t="s">
        <v>994</v>
      </c>
      <c r="F161" t="s">
        <v>997</v>
      </c>
      <c r="G161">
        <v>3</v>
      </c>
      <c r="H161">
        <v>250</v>
      </c>
      <c r="I161" t="s">
        <v>1004</v>
      </c>
      <c r="J161">
        <f>Table1[[#This Row],[Quantity]]*Table1[[#This Row],[Price]]*(1-Table1[[#This Row],[Discount]])</f>
        <v>675</v>
      </c>
      <c r="K161">
        <f>VALUE(SUBSTITUTE(Table1[[#This Row],[Discount]],"%",""))/100</f>
        <v>0.1</v>
      </c>
    </row>
    <row r="162" spans="1:11" x14ac:dyDescent="0.35">
      <c r="A162">
        <v>1160</v>
      </c>
      <c r="B162" s="1">
        <v>45753</v>
      </c>
      <c r="C162" t="s">
        <v>165</v>
      </c>
      <c r="E162" t="s">
        <v>995</v>
      </c>
      <c r="F162" t="s">
        <v>997</v>
      </c>
      <c r="G162">
        <v>2</v>
      </c>
      <c r="H162">
        <v>2500</v>
      </c>
      <c r="I162" t="s">
        <v>1002</v>
      </c>
      <c r="J162">
        <f>Table1[[#This Row],[Quantity]]*Table1[[#This Row],[Price]]*(1-Table1[[#This Row],[Discount]])</f>
        <v>4000</v>
      </c>
      <c r="K162">
        <f>VALUE(SUBSTITUTE(Table1[[#This Row],[Discount]],"%",""))/100</f>
        <v>0.2</v>
      </c>
    </row>
    <row r="163" spans="1:11" x14ac:dyDescent="0.35">
      <c r="A163">
        <v>1161</v>
      </c>
      <c r="B163" s="1">
        <v>45688</v>
      </c>
      <c r="C163" t="s">
        <v>166</v>
      </c>
      <c r="D163" t="s">
        <v>978</v>
      </c>
      <c r="E163" t="s">
        <v>996</v>
      </c>
      <c r="F163" t="s">
        <v>999</v>
      </c>
      <c r="G163">
        <v>4</v>
      </c>
      <c r="H163">
        <v>500</v>
      </c>
      <c r="I163" t="s">
        <v>1000</v>
      </c>
      <c r="J163">
        <f>Table1[[#This Row],[Quantity]]*Table1[[#This Row],[Price]]*(1-Table1[[#This Row],[Discount]])</f>
        <v>1900</v>
      </c>
      <c r="K163">
        <f>VALUE(SUBSTITUTE(Table1[[#This Row],[Discount]],"%",""))/100</f>
        <v>0.05</v>
      </c>
    </row>
    <row r="164" spans="1:11" x14ac:dyDescent="0.35">
      <c r="A164">
        <v>1162</v>
      </c>
      <c r="B164" s="1">
        <v>45626</v>
      </c>
      <c r="C164" t="s">
        <v>167</v>
      </c>
      <c r="D164" t="s">
        <v>978</v>
      </c>
      <c r="E164" t="s">
        <v>995</v>
      </c>
      <c r="F164" t="s">
        <v>997</v>
      </c>
      <c r="G164">
        <v>1</v>
      </c>
      <c r="H164">
        <v>1500</v>
      </c>
      <c r="I164" t="s">
        <v>1002</v>
      </c>
      <c r="J164">
        <f>Table1[[#This Row],[Quantity]]*Table1[[#This Row],[Price]]*(1-Table1[[#This Row],[Discount]])</f>
        <v>1200</v>
      </c>
      <c r="K164">
        <f>VALUE(SUBSTITUTE(Table1[[#This Row],[Discount]],"%",""))/100</f>
        <v>0.2</v>
      </c>
    </row>
    <row r="165" spans="1:11" x14ac:dyDescent="0.35">
      <c r="A165">
        <v>1163</v>
      </c>
      <c r="B165" s="1">
        <v>45843</v>
      </c>
      <c r="C165" t="s">
        <v>168</v>
      </c>
      <c r="D165" t="s">
        <v>980</v>
      </c>
      <c r="E165" t="s">
        <v>995</v>
      </c>
      <c r="F165" t="s">
        <v>997</v>
      </c>
      <c r="G165">
        <v>3</v>
      </c>
      <c r="H165">
        <v>4500</v>
      </c>
      <c r="I165" t="s">
        <v>1001</v>
      </c>
      <c r="J165">
        <f>Table1[[#This Row],[Quantity]]*Table1[[#This Row],[Price]]*(1-Table1[[#This Row],[Discount]])</f>
        <v>13500</v>
      </c>
      <c r="K165">
        <f>VALUE(SUBSTITUTE(Table1[[#This Row],[Discount]],"%",""))/100</f>
        <v>0</v>
      </c>
    </row>
    <row r="166" spans="1:11" x14ac:dyDescent="0.35">
      <c r="A166">
        <v>1164</v>
      </c>
      <c r="B166" s="1">
        <v>45760</v>
      </c>
      <c r="C166" t="s">
        <v>169</v>
      </c>
      <c r="D166" t="s">
        <v>978</v>
      </c>
      <c r="E166" t="s">
        <v>986</v>
      </c>
      <c r="F166" t="s">
        <v>997</v>
      </c>
      <c r="G166">
        <v>8</v>
      </c>
      <c r="H166">
        <v>500</v>
      </c>
      <c r="I166" t="s">
        <v>1002</v>
      </c>
      <c r="J166">
        <f>Table1[[#This Row],[Quantity]]*Table1[[#This Row],[Price]]*(1-Table1[[#This Row],[Discount]])</f>
        <v>3200</v>
      </c>
      <c r="K166">
        <f>VALUE(SUBSTITUTE(Table1[[#This Row],[Discount]],"%",""))/100</f>
        <v>0.2</v>
      </c>
    </row>
    <row r="167" spans="1:11" x14ac:dyDescent="0.35">
      <c r="A167">
        <v>1165</v>
      </c>
      <c r="B167" s="1">
        <v>45571</v>
      </c>
      <c r="C167" t="s">
        <v>170</v>
      </c>
      <c r="D167" t="s">
        <v>981</v>
      </c>
      <c r="E167" t="s">
        <v>985</v>
      </c>
      <c r="F167" t="s">
        <v>998</v>
      </c>
      <c r="G167">
        <v>10</v>
      </c>
      <c r="H167">
        <v>4500</v>
      </c>
      <c r="I167" t="s">
        <v>1003</v>
      </c>
      <c r="J167">
        <f>Table1[[#This Row],[Quantity]]*Table1[[#This Row],[Price]]*(1-Table1[[#This Row],[Discount]])</f>
        <v>38250</v>
      </c>
      <c r="K167">
        <f>VALUE(SUBSTITUTE(Table1[[#This Row],[Discount]],"%",""))/100</f>
        <v>0.15</v>
      </c>
    </row>
    <row r="168" spans="1:11" x14ac:dyDescent="0.35">
      <c r="A168">
        <v>1166</v>
      </c>
      <c r="B168" s="1">
        <v>45732</v>
      </c>
      <c r="C168" t="s">
        <v>171</v>
      </c>
      <c r="D168" t="s">
        <v>979</v>
      </c>
      <c r="E168" t="s">
        <v>990</v>
      </c>
      <c r="F168" t="s">
        <v>998</v>
      </c>
      <c r="G168">
        <v>10</v>
      </c>
      <c r="H168">
        <v>300</v>
      </c>
      <c r="I168" t="s">
        <v>1004</v>
      </c>
      <c r="J168">
        <f>Table1[[#This Row],[Quantity]]*Table1[[#This Row],[Price]]*(1-Table1[[#This Row],[Discount]])</f>
        <v>2700</v>
      </c>
      <c r="K168">
        <f>VALUE(SUBSTITUTE(Table1[[#This Row],[Discount]],"%",""))/100</f>
        <v>0.1</v>
      </c>
    </row>
    <row r="169" spans="1:11" x14ac:dyDescent="0.35">
      <c r="A169">
        <v>1167</v>
      </c>
      <c r="B169" s="1">
        <v>45575</v>
      </c>
      <c r="C169" t="s">
        <v>172</v>
      </c>
      <c r="D169" t="s">
        <v>978</v>
      </c>
      <c r="E169" t="s">
        <v>991</v>
      </c>
      <c r="F169" t="s">
        <v>998</v>
      </c>
      <c r="G169">
        <v>2</v>
      </c>
      <c r="H169">
        <v>1000</v>
      </c>
      <c r="I169" t="s">
        <v>1001</v>
      </c>
      <c r="J169">
        <f>Table1[[#This Row],[Quantity]]*Table1[[#This Row],[Price]]*(1-Table1[[#This Row],[Discount]])</f>
        <v>2000</v>
      </c>
      <c r="K169">
        <f>VALUE(SUBSTITUTE(Table1[[#This Row],[Discount]],"%",""))/100</f>
        <v>0</v>
      </c>
    </row>
    <row r="170" spans="1:11" x14ac:dyDescent="0.35">
      <c r="A170">
        <v>1168</v>
      </c>
      <c r="B170" s="1">
        <v>45795</v>
      </c>
      <c r="C170" t="s">
        <v>173</v>
      </c>
      <c r="D170" t="s">
        <v>979</v>
      </c>
      <c r="E170" t="s">
        <v>987</v>
      </c>
      <c r="F170" t="s">
        <v>999</v>
      </c>
      <c r="G170">
        <v>4</v>
      </c>
      <c r="H170">
        <v>4500</v>
      </c>
      <c r="I170" t="s">
        <v>1004</v>
      </c>
      <c r="J170">
        <f>Table1[[#This Row],[Quantity]]*Table1[[#This Row],[Price]]*(1-Table1[[#This Row],[Discount]])</f>
        <v>16200</v>
      </c>
      <c r="K170">
        <f>VALUE(SUBSTITUTE(Table1[[#This Row],[Discount]],"%",""))/100</f>
        <v>0.1</v>
      </c>
    </row>
    <row r="171" spans="1:11" x14ac:dyDescent="0.35">
      <c r="A171">
        <v>1169</v>
      </c>
      <c r="B171" s="1">
        <v>45675</v>
      </c>
      <c r="C171" t="s">
        <v>174</v>
      </c>
      <c r="D171" t="s">
        <v>981</v>
      </c>
      <c r="E171" t="s">
        <v>987</v>
      </c>
      <c r="F171" t="s">
        <v>999</v>
      </c>
      <c r="G171">
        <v>6</v>
      </c>
      <c r="H171">
        <v>500</v>
      </c>
      <c r="I171" t="s">
        <v>1001</v>
      </c>
      <c r="J171">
        <f>Table1[[#This Row],[Quantity]]*Table1[[#This Row],[Price]]*(1-Table1[[#This Row],[Discount]])</f>
        <v>3000</v>
      </c>
      <c r="K171">
        <f>VALUE(SUBSTITUTE(Table1[[#This Row],[Discount]],"%",""))/100</f>
        <v>0</v>
      </c>
    </row>
    <row r="172" spans="1:11" x14ac:dyDescent="0.35">
      <c r="A172">
        <v>1170</v>
      </c>
      <c r="B172" s="1">
        <v>45769</v>
      </c>
      <c r="C172" t="s">
        <v>175</v>
      </c>
      <c r="D172" t="s">
        <v>978</v>
      </c>
      <c r="E172" t="s">
        <v>990</v>
      </c>
      <c r="F172" t="s">
        <v>998</v>
      </c>
      <c r="G172">
        <v>1</v>
      </c>
      <c r="H172">
        <v>1000</v>
      </c>
      <c r="I172" t="s">
        <v>1003</v>
      </c>
      <c r="J172">
        <f>Table1[[#This Row],[Quantity]]*Table1[[#This Row],[Price]]*(1-Table1[[#This Row],[Discount]])</f>
        <v>850</v>
      </c>
      <c r="K172">
        <f>VALUE(SUBSTITUTE(Table1[[#This Row],[Discount]],"%",""))/100</f>
        <v>0.15</v>
      </c>
    </row>
    <row r="173" spans="1:11" x14ac:dyDescent="0.35">
      <c r="A173">
        <v>1171</v>
      </c>
      <c r="B173" s="1">
        <v>45715</v>
      </c>
      <c r="C173" t="s">
        <v>176</v>
      </c>
      <c r="D173" t="s">
        <v>980</v>
      </c>
      <c r="E173" t="s">
        <v>992</v>
      </c>
      <c r="F173" t="s">
        <v>998</v>
      </c>
      <c r="G173">
        <v>5</v>
      </c>
      <c r="H173">
        <v>500</v>
      </c>
      <c r="I173" t="s">
        <v>1000</v>
      </c>
      <c r="J173">
        <f>Table1[[#This Row],[Quantity]]*Table1[[#This Row],[Price]]*(1-Table1[[#This Row],[Discount]])</f>
        <v>2375</v>
      </c>
      <c r="K173">
        <f>VALUE(SUBSTITUTE(Table1[[#This Row],[Discount]],"%",""))/100</f>
        <v>0.05</v>
      </c>
    </row>
    <row r="174" spans="1:11" x14ac:dyDescent="0.35">
      <c r="A174">
        <v>1172</v>
      </c>
      <c r="B174" s="1">
        <v>45629</v>
      </c>
      <c r="C174" t="s">
        <v>177</v>
      </c>
      <c r="D174" t="s">
        <v>979</v>
      </c>
      <c r="E174" t="s">
        <v>990</v>
      </c>
      <c r="F174" t="s">
        <v>998</v>
      </c>
      <c r="G174">
        <v>7</v>
      </c>
      <c r="H174">
        <v>4500</v>
      </c>
      <c r="I174" t="s">
        <v>1001</v>
      </c>
      <c r="J174">
        <f>Table1[[#This Row],[Quantity]]*Table1[[#This Row],[Price]]*(1-Table1[[#This Row],[Discount]])</f>
        <v>31500</v>
      </c>
      <c r="K174">
        <f>VALUE(SUBSTITUTE(Table1[[#This Row],[Discount]],"%",""))/100</f>
        <v>0</v>
      </c>
    </row>
    <row r="175" spans="1:11" x14ac:dyDescent="0.35">
      <c r="A175">
        <v>1173</v>
      </c>
      <c r="B175" s="1">
        <v>45590</v>
      </c>
      <c r="C175" t="s">
        <v>178</v>
      </c>
      <c r="D175" t="s">
        <v>981</v>
      </c>
      <c r="E175" t="s">
        <v>995</v>
      </c>
      <c r="F175" t="s">
        <v>997</v>
      </c>
      <c r="G175">
        <v>10</v>
      </c>
      <c r="H175">
        <v>500</v>
      </c>
      <c r="I175" t="s">
        <v>1000</v>
      </c>
      <c r="J175">
        <f>Table1[[#This Row],[Quantity]]*Table1[[#This Row],[Price]]*(1-Table1[[#This Row],[Discount]])</f>
        <v>4750</v>
      </c>
      <c r="K175">
        <f>VALUE(SUBSTITUTE(Table1[[#This Row],[Discount]],"%",""))/100</f>
        <v>0.05</v>
      </c>
    </row>
    <row r="176" spans="1:11" x14ac:dyDescent="0.35">
      <c r="A176">
        <v>1174</v>
      </c>
      <c r="B176" s="1">
        <v>45709</v>
      </c>
      <c r="C176" t="s">
        <v>179</v>
      </c>
      <c r="D176" t="s">
        <v>979</v>
      </c>
      <c r="E176" t="s">
        <v>988</v>
      </c>
      <c r="F176" t="s">
        <v>999</v>
      </c>
      <c r="G176">
        <v>2</v>
      </c>
      <c r="H176">
        <v>1500</v>
      </c>
      <c r="I176" t="s">
        <v>1001</v>
      </c>
      <c r="J176">
        <f>Table1[[#This Row],[Quantity]]*Table1[[#This Row],[Price]]*(1-Table1[[#This Row],[Discount]])</f>
        <v>3000</v>
      </c>
      <c r="K176">
        <f>VALUE(SUBSTITUTE(Table1[[#This Row],[Discount]],"%",""))/100</f>
        <v>0</v>
      </c>
    </row>
    <row r="177" spans="1:11" x14ac:dyDescent="0.35">
      <c r="A177">
        <v>1175</v>
      </c>
      <c r="B177" s="1">
        <v>45787</v>
      </c>
      <c r="C177" t="s">
        <v>180</v>
      </c>
      <c r="D177" t="s">
        <v>981</v>
      </c>
      <c r="E177" t="s">
        <v>993</v>
      </c>
      <c r="F177" t="s">
        <v>999</v>
      </c>
      <c r="G177">
        <v>1</v>
      </c>
      <c r="H177">
        <v>1500</v>
      </c>
      <c r="I177" t="s">
        <v>1001</v>
      </c>
      <c r="J177">
        <f>Table1[[#This Row],[Quantity]]*Table1[[#This Row],[Price]]*(1-Table1[[#This Row],[Discount]])</f>
        <v>1500</v>
      </c>
      <c r="K177">
        <f>VALUE(SUBSTITUTE(Table1[[#This Row],[Discount]],"%",""))/100</f>
        <v>0</v>
      </c>
    </row>
    <row r="178" spans="1:11" x14ac:dyDescent="0.35">
      <c r="A178">
        <v>1176</v>
      </c>
      <c r="B178" s="1">
        <v>45610</v>
      </c>
      <c r="C178" t="s">
        <v>181</v>
      </c>
      <c r="D178" t="s">
        <v>981</v>
      </c>
      <c r="E178" t="s">
        <v>986</v>
      </c>
      <c r="F178" t="s">
        <v>997</v>
      </c>
      <c r="G178">
        <v>3</v>
      </c>
      <c r="H178">
        <v>100</v>
      </c>
      <c r="I178" t="s">
        <v>1004</v>
      </c>
      <c r="J178">
        <f>Table1[[#This Row],[Quantity]]*Table1[[#This Row],[Price]]*(1-Table1[[#This Row],[Discount]])</f>
        <v>270</v>
      </c>
      <c r="K178">
        <f>VALUE(SUBSTITUTE(Table1[[#This Row],[Discount]],"%",""))/100</f>
        <v>0.1</v>
      </c>
    </row>
    <row r="179" spans="1:11" x14ac:dyDescent="0.35">
      <c r="A179">
        <v>1177</v>
      </c>
      <c r="B179" s="1">
        <v>45618</v>
      </c>
      <c r="C179" t="s">
        <v>182</v>
      </c>
      <c r="D179" t="s">
        <v>980</v>
      </c>
      <c r="E179" t="s">
        <v>996</v>
      </c>
      <c r="F179" t="s">
        <v>999</v>
      </c>
      <c r="G179">
        <v>3</v>
      </c>
      <c r="H179">
        <v>300</v>
      </c>
      <c r="I179" t="s">
        <v>1001</v>
      </c>
      <c r="J179">
        <f>Table1[[#This Row],[Quantity]]*Table1[[#This Row],[Price]]*(1-Table1[[#This Row],[Discount]])</f>
        <v>900</v>
      </c>
      <c r="K179">
        <f>VALUE(SUBSTITUTE(Table1[[#This Row],[Discount]],"%",""))/100</f>
        <v>0</v>
      </c>
    </row>
    <row r="180" spans="1:11" x14ac:dyDescent="0.35">
      <c r="A180">
        <v>1178</v>
      </c>
      <c r="B180" s="1">
        <v>45522</v>
      </c>
      <c r="C180" t="s">
        <v>183</v>
      </c>
      <c r="D180" t="s">
        <v>980</v>
      </c>
      <c r="E180" t="s">
        <v>985</v>
      </c>
      <c r="F180" t="s">
        <v>998</v>
      </c>
      <c r="G180">
        <v>5</v>
      </c>
      <c r="H180">
        <v>2500</v>
      </c>
      <c r="I180" t="s">
        <v>1002</v>
      </c>
      <c r="J180">
        <f>Table1[[#This Row],[Quantity]]*Table1[[#This Row],[Price]]*(1-Table1[[#This Row],[Discount]])</f>
        <v>10000</v>
      </c>
      <c r="K180">
        <f>VALUE(SUBSTITUTE(Table1[[#This Row],[Discount]],"%",""))/100</f>
        <v>0.2</v>
      </c>
    </row>
    <row r="181" spans="1:11" x14ac:dyDescent="0.35">
      <c r="A181">
        <v>1179</v>
      </c>
      <c r="B181" s="1">
        <v>45838</v>
      </c>
      <c r="C181" t="s">
        <v>184</v>
      </c>
      <c r="D181" t="s">
        <v>981</v>
      </c>
      <c r="E181" t="s">
        <v>987</v>
      </c>
      <c r="F181" t="s">
        <v>999</v>
      </c>
      <c r="G181">
        <v>6</v>
      </c>
      <c r="H181">
        <v>1000</v>
      </c>
      <c r="I181" t="s">
        <v>1001</v>
      </c>
      <c r="J181">
        <f>Table1[[#This Row],[Quantity]]*Table1[[#This Row],[Price]]*(1-Table1[[#This Row],[Discount]])</f>
        <v>6000</v>
      </c>
      <c r="K181">
        <f>VALUE(SUBSTITUTE(Table1[[#This Row],[Discount]],"%",""))/100</f>
        <v>0</v>
      </c>
    </row>
    <row r="182" spans="1:11" x14ac:dyDescent="0.35">
      <c r="A182">
        <v>1180</v>
      </c>
      <c r="B182" s="1">
        <v>45611</v>
      </c>
      <c r="C182" t="s">
        <v>185</v>
      </c>
      <c r="D182" t="s">
        <v>981</v>
      </c>
      <c r="E182" t="s">
        <v>993</v>
      </c>
      <c r="F182" t="s">
        <v>999</v>
      </c>
      <c r="G182">
        <v>3</v>
      </c>
      <c r="H182">
        <v>4500</v>
      </c>
      <c r="I182" t="s">
        <v>1003</v>
      </c>
      <c r="J182">
        <f>Table1[[#This Row],[Quantity]]*Table1[[#This Row],[Price]]*(1-Table1[[#This Row],[Discount]])</f>
        <v>11475</v>
      </c>
      <c r="K182">
        <f>VALUE(SUBSTITUTE(Table1[[#This Row],[Discount]],"%",""))/100</f>
        <v>0.15</v>
      </c>
    </row>
    <row r="183" spans="1:11" x14ac:dyDescent="0.35">
      <c r="A183">
        <v>1181</v>
      </c>
      <c r="B183" s="1">
        <v>45520</v>
      </c>
      <c r="C183" t="s">
        <v>186</v>
      </c>
      <c r="D183" t="s">
        <v>978</v>
      </c>
      <c r="E183" t="s">
        <v>994</v>
      </c>
      <c r="F183" t="s">
        <v>997</v>
      </c>
      <c r="G183">
        <v>2</v>
      </c>
      <c r="H183">
        <v>2500</v>
      </c>
      <c r="I183" t="s">
        <v>1002</v>
      </c>
      <c r="J183">
        <f>Table1[[#This Row],[Quantity]]*Table1[[#This Row],[Price]]*(1-Table1[[#This Row],[Discount]])</f>
        <v>4000</v>
      </c>
      <c r="K183">
        <f>VALUE(SUBSTITUTE(Table1[[#This Row],[Discount]],"%",""))/100</f>
        <v>0.2</v>
      </c>
    </row>
    <row r="184" spans="1:11" x14ac:dyDescent="0.35">
      <c r="A184">
        <v>1182</v>
      </c>
      <c r="B184" s="1">
        <v>45526</v>
      </c>
      <c r="C184" t="s">
        <v>187</v>
      </c>
      <c r="D184" t="s">
        <v>980</v>
      </c>
      <c r="E184" t="s">
        <v>986</v>
      </c>
      <c r="F184" t="s">
        <v>997</v>
      </c>
      <c r="G184">
        <v>5</v>
      </c>
      <c r="H184">
        <v>4500</v>
      </c>
      <c r="I184" t="s">
        <v>1002</v>
      </c>
      <c r="J184">
        <f>Table1[[#This Row],[Quantity]]*Table1[[#This Row],[Price]]*(1-Table1[[#This Row],[Discount]])</f>
        <v>18000</v>
      </c>
      <c r="K184">
        <f>VALUE(SUBSTITUTE(Table1[[#This Row],[Discount]],"%",""))/100</f>
        <v>0.2</v>
      </c>
    </row>
    <row r="185" spans="1:11" x14ac:dyDescent="0.35">
      <c r="A185">
        <v>1183</v>
      </c>
      <c r="B185" s="1">
        <v>45521</v>
      </c>
      <c r="C185" t="s">
        <v>188</v>
      </c>
      <c r="D185" t="s">
        <v>979</v>
      </c>
      <c r="E185" t="s">
        <v>986</v>
      </c>
      <c r="F185" t="s">
        <v>997</v>
      </c>
      <c r="G185">
        <v>10</v>
      </c>
      <c r="H185">
        <v>2500</v>
      </c>
      <c r="I185" t="s">
        <v>1004</v>
      </c>
      <c r="J185">
        <f>Table1[[#This Row],[Quantity]]*Table1[[#This Row],[Price]]*(1-Table1[[#This Row],[Discount]])</f>
        <v>22500</v>
      </c>
      <c r="K185">
        <f>VALUE(SUBSTITUTE(Table1[[#This Row],[Discount]],"%",""))/100</f>
        <v>0.1</v>
      </c>
    </row>
    <row r="186" spans="1:11" x14ac:dyDescent="0.35">
      <c r="A186">
        <v>1184</v>
      </c>
      <c r="B186" s="1">
        <v>45534</v>
      </c>
      <c r="C186" t="s">
        <v>189</v>
      </c>
      <c r="D186" t="s">
        <v>980</v>
      </c>
      <c r="E186" t="s">
        <v>983</v>
      </c>
      <c r="F186" t="s">
        <v>997</v>
      </c>
      <c r="G186">
        <v>1</v>
      </c>
      <c r="H186">
        <v>300</v>
      </c>
      <c r="I186" t="s">
        <v>1002</v>
      </c>
      <c r="J186">
        <f>Table1[[#This Row],[Quantity]]*Table1[[#This Row],[Price]]*(1-Table1[[#This Row],[Discount]])</f>
        <v>240</v>
      </c>
      <c r="K186">
        <f>VALUE(SUBSTITUTE(Table1[[#This Row],[Discount]],"%",""))/100</f>
        <v>0.2</v>
      </c>
    </row>
    <row r="187" spans="1:11" x14ac:dyDescent="0.35">
      <c r="A187">
        <v>1185</v>
      </c>
      <c r="B187" s="1">
        <v>45808</v>
      </c>
      <c r="C187" t="s">
        <v>190</v>
      </c>
      <c r="D187" t="s">
        <v>978</v>
      </c>
      <c r="E187" t="s">
        <v>993</v>
      </c>
      <c r="F187" t="s">
        <v>999</v>
      </c>
      <c r="G187">
        <v>7</v>
      </c>
      <c r="H187">
        <v>100</v>
      </c>
      <c r="I187" t="s">
        <v>1002</v>
      </c>
      <c r="J187">
        <f>Table1[[#This Row],[Quantity]]*Table1[[#This Row],[Price]]*(1-Table1[[#This Row],[Discount]])</f>
        <v>560</v>
      </c>
      <c r="K187">
        <f>VALUE(SUBSTITUTE(Table1[[#This Row],[Discount]],"%",""))/100</f>
        <v>0.2</v>
      </c>
    </row>
    <row r="188" spans="1:11" x14ac:dyDescent="0.35">
      <c r="A188">
        <v>1186</v>
      </c>
      <c r="B188" s="1">
        <v>45853</v>
      </c>
      <c r="C188" t="s">
        <v>191</v>
      </c>
      <c r="D188" t="s">
        <v>981</v>
      </c>
      <c r="E188" t="s">
        <v>991</v>
      </c>
      <c r="F188" t="s">
        <v>998</v>
      </c>
      <c r="G188">
        <v>3</v>
      </c>
      <c r="H188">
        <v>1500</v>
      </c>
      <c r="I188" t="s">
        <v>1003</v>
      </c>
      <c r="J188">
        <f>Table1[[#This Row],[Quantity]]*Table1[[#This Row],[Price]]*(1-Table1[[#This Row],[Discount]])</f>
        <v>3825</v>
      </c>
      <c r="K188">
        <f>VALUE(SUBSTITUTE(Table1[[#This Row],[Discount]],"%",""))/100</f>
        <v>0.15</v>
      </c>
    </row>
    <row r="189" spans="1:11" x14ac:dyDescent="0.35">
      <c r="A189">
        <v>1187</v>
      </c>
      <c r="B189" s="1">
        <v>45619</v>
      </c>
      <c r="C189" t="s">
        <v>192</v>
      </c>
      <c r="D189" t="s">
        <v>979</v>
      </c>
      <c r="E189" t="s">
        <v>983</v>
      </c>
      <c r="F189" t="s">
        <v>997</v>
      </c>
      <c r="G189">
        <v>8</v>
      </c>
      <c r="H189">
        <v>2500</v>
      </c>
      <c r="I189" t="s">
        <v>1002</v>
      </c>
      <c r="J189">
        <f>Table1[[#This Row],[Quantity]]*Table1[[#This Row],[Price]]*(1-Table1[[#This Row],[Discount]])</f>
        <v>16000</v>
      </c>
      <c r="K189">
        <f>VALUE(SUBSTITUTE(Table1[[#This Row],[Discount]],"%",""))/100</f>
        <v>0.2</v>
      </c>
    </row>
    <row r="190" spans="1:11" x14ac:dyDescent="0.35">
      <c r="A190">
        <v>1188</v>
      </c>
      <c r="B190" s="1">
        <v>45539</v>
      </c>
      <c r="C190" t="s">
        <v>193</v>
      </c>
      <c r="D190" t="s">
        <v>978</v>
      </c>
      <c r="E190" t="s">
        <v>986</v>
      </c>
      <c r="F190" t="s">
        <v>997</v>
      </c>
      <c r="G190">
        <v>8</v>
      </c>
      <c r="H190">
        <v>500</v>
      </c>
      <c r="I190" t="s">
        <v>1001</v>
      </c>
      <c r="J190">
        <f>Table1[[#This Row],[Quantity]]*Table1[[#This Row],[Price]]*(1-Table1[[#This Row],[Discount]])</f>
        <v>4000</v>
      </c>
      <c r="K190">
        <f>VALUE(SUBSTITUTE(Table1[[#This Row],[Discount]],"%",""))/100</f>
        <v>0</v>
      </c>
    </row>
    <row r="191" spans="1:11" x14ac:dyDescent="0.35">
      <c r="A191">
        <v>1189</v>
      </c>
      <c r="B191" s="1">
        <v>45757</v>
      </c>
      <c r="C191" t="s">
        <v>194</v>
      </c>
      <c r="D191" t="s">
        <v>981</v>
      </c>
      <c r="E191" t="s">
        <v>987</v>
      </c>
      <c r="F191" t="s">
        <v>999</v>
      </c>
      <c r="G191">
        <v>6</v>
      </c>
      <c r="H191">
        <v>1500</v>
      </c>
      <c r="I191" t="s">
        <v>1001</v>
      </c>
      <c r="J191">
        <f>Table1[[#This Row],[Quantity]]*Table1[[#This Row],[Price]]*(1-Table1[[#This Row],[Discount]])</f>
        <v>9000</v>
      </c>
      <c r="K191">
        <f>VALUE(SUBSTITUTE(Table1[[#This Row],[Discount]],"%",""))/100</f>
        <v>0</v>
      </c>
    </row>
    <row r="192" spans="1:11" x14ac:dyDescent="0.35">
      <c r="A192">
        <v>1190</v>
      </c>
      <c r="B192" s="1">
        <v>45561</v>
      </c>
      <c r="C192" t="s">
        <v>195</v>
      </c>
      <c r="D192" t="s">
        <v>978</v>
      </c>
      <c r="E192" t="s">
        <v>983</v>
      </c>
      <c r="F192" t="s">
        <v>997</v>
      </c>
      <c r="G192">
        <v>6</v>
      </c>
      <c r="H192">
        <v>500</v>
      </c>
      <c r="I192" t="s">
        <v>1001</v>
      </c>
      <c r="J192">
        <f>Table1[[#This Row],[Quantity]]*Table1[[#This Row],[Price]]*(1-Table1[[#This Row],[Discount]])</f>
        <v>3000</v>
      </c>
      <c r="K192">
        <f>VALUE(SUBSTITUTE(Table1[[#This Row],[Discount]],"%",""))/100</f>
        <v>0</v>
      </c>
    </row>
    <row r="193" spans="1:11" x14ac:dyDescent="0.35">
      <c r="A193">
        <v>1191</v>
      </c>
      <c r="B193" s="1">
        <v>45614</v>
      </c>
      <c r="C193" t="s">
        <v>196</v>
      </c>
      <c r="D193" t="s">
        <v>978</v>
      </c>
      <c r="E193" t="s">
        <v>989</v>
      </c>
      <c r="F193" t="s">
        <v>999</v>
      </c>
      <c r="G193">
        <v>10</v>
      </c>
      <c r="H193">
        <v>1500</v>
      </c>
      <c r="I193" t="s">
        <v>1003</v>
      </c>
      <c r="J193">
        <f>Table1[[#This Row],[Quantity]]*Table1[[#This Row],[Price]]*(1-Table1[[#This Row],[Discount]])</f>
        <v>12750</v>
      </c>
      <c r="K193">
        <f>VALUE(SUBSTITUTE(Table1[[#This Row],[Discount]],"%",""))/100</f>
        <v>0.15</v>
      </c>
    </row>
    <row r="194" spans="1:11" x14ac:dyDescent="0.35">
      <c r="A194">
        <v>1192</v>
      </c>
      <c r="B194" s="1">
        <v>45834</v>
      </c>
      <c r="C194" t="s">
        <v>197</v>
      </c>
      <c r="D194" t="s">
        <v>979</v>
      </c>
      <c r="E194" t="s">
        <v>994</v>
      </c>
      <c r="F194" t="s">
        <v>997</v>
      </c>
      <c r="G194">
        <v>9</v>
      </c>
      <c r="H194">
        <v>2500</v>
      </c>
      <c r="I194" t="s">
        <v>1003</v>
      </c>
      <c r="J194">
        <f>Table1[[#This Row],[Quantity]]*Table1[[#This Row],[Price]]*(1-Table1[[#This Row],[Discount]])</f>
        <v>19125</v>
      </c>
      <c r="K194">
        <f>VALUE(SUBSTITUTE(Table1[[#This Row],[Discount]],"%",""))/100</f>
        <v>0.15</v>
      </c>
    </row>
    <row r="195" spans="1:11" x14ac:dyDescent="0.35">
      <c r="A195">
        <v>1193</v>
      </c>
      <c r="B195" s="1">
        <v>45806</v>
      </c>
      <c r="C195" t="s">
        <v>198</v>
      </c>
      <c r="D195" t="s">
        <v>978</v>
      </c>
      <c r="E195" t="s">
        <v>989</v>
      </c>
      <c r="F195" t="s">
        <v>999</v>
      </c>
      <c r="G195">
        <v>6</v>
      </c>
      <c r="H195">
        <v>300</v>
      </c>
      <c r="I195" t="s">
        <v>1002</v>
      </c>
      <c r="J195">
        <f>Table1[[#This Row],[Quantity]]*Table1[[#This Row],[Price]]*(1-Table1[[#This Row],[Discount]])</f>
        <v>1440</v>
      </c>
      <c r="K195">
        <f>VALUE(SUBSTITUTE(Table1[[#This Row],[Discount]],"%",""))/100</f>
        <v>0.2</v>
      </c>
    </row>
    <row r="196" spans="1:11" x14ac:dyDescent="0.35">
      <c r="A196">
        <v>1194</v>
      </c>
      <c r="B196" s="1">
        <v>45577</v>
      </c>
      <c r="C196" t="s">
        <v>199</v>
      </c>
      <c r="D196" t="s">
        <v>978</v>
      </c>
      <c r="E196" t="s">
        <v>992</v>
      </c>
      <c r="F196" t="s">
        <v>998</v>
      </c>
      <c r="G196">
        <v>9</v>
      </c>
      <c r="H196">
        <v>300</v>
      </c>
      <c r="I196" t="s">
        <v>1004</v>
      </c>
      <c r="J196">
        <f>Table1[[#This Row],[Quantity]]*Table1[[#This Row],[Price]]*(1-Table1[[#This Row],[Discount]])</f>
        <v>2430</v>
      </c>
      <c r="K196">
        <f>VALUE(SUBSTITUTE(Table1[[#This Row],[Discount]],"%",""))/100</f>
        <v>0.1</v>
      </c>
    </row>
    <row r="197" spans="1:11" x14ac:dyDescent="0.35">
      <c r="A197">
        <v>1195</v>
      </c>
      <c r="B197" s="1">
        <v>45853</v>
      </c>
      <c r="C197" t="s">
        <v>200</v>
      </c>
      <c r="D197" t="s">
        <v>981</v>
      </c>
      <c r="E197" t="s">
        <v>986</v>
      </c>
      <c r="F197" t="s">
        <v>997</v>
      </c>
      <c r="G197">
        <v>2</v>
      </c>
      <c r="H197">
        <v>1000</v>
      </c>
      <c r="I197" t="s">
        <v>1000</v>
      </c>
      <c r="J197">
        <f>Table1[[#This Row],[Quantity]]*Table1[[#This Row],[Price]]*(1-Table1[[#This Row],[Discount]])</f>
        <v>1900</v>
      </c>
      <c r="K197">
        <f>VALUE(SUBSTITUTE(Table1[[#This Row],[Discount]],"%",""))/100</f>
        <v>0.05</v>
      </c>
    </row>
    <row r="198" spans="1:11" x14ac:dyDescent="0.35">
      <c r="A198">
        <v>1196</v>
      </c>
      <c r="B198" s="1">
        <v>45808</v>
      </c>
      <c r="C198" t="s">
        <v>201</v>
      </c>
      <c r="D198" t="s">
        <v>981</v>
      </c>
      <c r="E198" t="s">
        <v>983</v>
      </c>
      <c r="F198" t="s">
        <v>997</v>
      </c>
      <c r="G198">
        <v>10</v>
      </c>
      <c r="H198">
        <v>300</v>
      </c>
      <c r="I198" t="s">
        <v>1000</v>
      </c>
      <c r="J198">
        <f>Table1[[#This Row],[Quantity]]*Table1[[#This Row],[Price]]*(1-Table1[[#This Row],[Discount]])</f>
        <v>2850</v>
      </c>
      <c r="K198">
        <f>VALUE(SUBSTITUTE(Table1[[#This Row],[Discount]],"%",""))/100</f>
        <v>0.05</v>
      </c>
    </row>
    <row r="199" spans="1:11" x14ac:dyDescent="0.35">
      <c r="A199">
        <v>1197</v>
      </c>
      <c r="B199" s="1">
        <v>45613</v>
      </c>
      <c r="C199" t="s">
        <v>202</v>
      </c>
      <c r="D199" t="s">
        <v>980</v>
      </c>
      <c r="E199" t="s">
        <v>992</v>
      </c>
      <c r="F199" t="s">
        <v>998</v>
      </c>
      <c r="G199">
        <v>1</v>
      </c>
      <c r="H199">
        <v>1000</v>
      </c>
      <c r="I199" t="s">
        <v>1000</v>
      </c>
      <c r="J199">
        <f>Table1[[#This Row],[Quantity]]*Table1[[#This Row],[Price]]*(1-Table1[[#This Row],[Discount]])</f>
        <v>950</v>
      </c>
      <c r="K199">
        <f>VALUE(SUBSTITUTE(Table1[[#This Row],[Discount]],"%",""))/100</f>
        <v>0.05</v>
      </c>
    </row>
    <row r="200" spans="1:11" x14ac:dyDescent="0.35">
      <c r="A200">
        <v>1198</v>
      </c>
      <c r="B200" s="1">
        <v>45657</v>
      </c>
      <c r="C200" t="s">
        <v>203</v>
      </c>
      <c r="D200" t="s">
        <v>980</v>
      </c>
      <c r="E200" t="s">
        <v>986</v>
      </c>
      <c r="F200" t="s">
        <v>997</v>
      </c>
      <c r="G200">
        <v>5</v>
      </c>
      <c r="H200">
        <v>4500</v>
      </c>
      <c r="I200" t="s">
        <v>1000</v>
      </c>
      <c r="J200">
        <f>Table1[[#This Row],[Quantity]]*Table1[[#This Row],[Price]]*(1-Table1[[#This Row],[Discount]])</f>
        <v>21375</v>
      </c>
      <c r="K200">
        <f>VALUE(SUBSTITUTE(Table1[[#This Row],[Discount]],"%",""))/100</f>
        <v>0.05</v>
      </c>
    </row>
    <row r="201" spans="1:11" x14ac:dyDescent="0.35">
      <c r="A201">
        <v>1199</v>
      </c>
      <c r="B201" s="1">
        <v>45532</v>
      </c>
      <c r="C201" t="s">
        <v>204</v>
      </c>
      <c r="D201" t="s">
        <v>981</v>
      </c>
      <c r="E201" t="s">
        <v>996</v>
      </c>
      <c r="F201" t="s">
        <v>999</v>
      </c>
      <c r="G201">
        <v>8</v>
      </c>
      <c r="H201">
        <v>4500</v>
      </c>
      <c r="I201" t="s">
        <v>1000</v>
      </c>
      <c r="J201">
        <f>Table1[[#This Row],[Quantity]]*Table1[[#This Row],[Price]]*(1-Table1[[#This Row],[Discount]])</f>
        <v>34200</v>
      </c>
      <c r="K201">
        <f>VALUE(SUBSTITUTE(Table1[[#This Row],[Discount]],"%",""))/100</f>
        <v>0.05</v>
      </c>
    </row>
    <row r="202" spans="1:11" x14ac:dyDescent="0.35">
      <c r="A202">
        <v>1200</v>
      </c>
      <c r="B202" s="1">
        <v>45735</v>
      </c>
      <c r="C202" t="s">
        <v>205</v>
      </c>
      <c r="D202" t="s">
        <v>979</v>
      </c>
      <c r="E202" t="s">
        <v>986</v>
      </c>
      <c r="F202" t="s">
        <v>997</v>
      </c>
      <c r="G202">
        <v>7</v>
      </c>
      <c r="H202">
        <v>300</v>
      </c>
      <c r="I202" t="s">
        <v>1004</v>
      </c>
      <c r="J202">
        <f>Table1[[#This Row],[Quantity]]*Table1[[#This Row],[Price]]*(1-Table1[[#This Row],[Discount]])</f>
        <v>1890</v>
      </c>
      <c r="K202">
        <f>VALUE(SUBSTITUTE(Table1[[#This Row],[Discount]],"%",""))/100</f>
        <v>0.1</v>
      </c>
    </row>
    <row r="203" spans="1:11" x14ac:dyDescent="0.35">
      <c r="A203">
        <v>1201</v>
      </c>
      <c r="B203" s="1">
        <v>45825</v>
      </c>
      <c r="C203" t="s">
        <v>206</v>
      </c>
      <c r="D203" t="s">
        <v>980</v>
      </c>
      <c r="E203" t="s">
        <v>990</v>
      </c>
      <c r="F203" t="s">
        <v>998</v>
      </c>
      <c r="G203">
        <v>2</v>
      </c>
      <c r="H203">
        <v>100</v>
      </c>
      <c r="I203" t="s">
        <v>1004</v>
      </c>
      <c r="J203">
        <f>Table1[[#This Row],[Quantity]]*Table1[[#This Row],[Price]]*(1-Table1[[#This Row],[Discount]])</f>
        <v>180</v>
      </c>
      <c r="K203">
        <f>VALUE(SUBSTITUTE(Table1[[#This Row],[Discount]],"%",""))/100</f>
        <v>0.1</v>
      </c>
    </row>
    <row r="204" spans="1:11" x14ac:dyDescent="0.35">
      <c r="A204">
        <v>1202</v>
      </c>
      <c r="B204" s="1">
        <v>45798</v>
      </c>
      <c r="C204" t="s">
        <v>207</v>
      </c>
      <c r="D204" t="s">
        <v>978</v>
      </c>
      <c r="E204" t="s">
        <v>985</v>
      </c>
      <c r="F204" t="s">
        <v>998</v>
      </c>
      <c r="G204">
        <v>10</v>
      </c>
      <c r="H204">
        <v>1500</v>
      </c>
      <c r="I204" t="s">
        <v>1000</v>
      </c>
      <c r="J204">
        <f>Table1[[#This Row],[Quantity]]*Table1[[#This Row],[Price]]*(1-Table1[[#This Row],[Discount]])</f>
        <v>14250</v>
      </c>
      <c r="K204">
        <f>VALUE(SUBSTITUTE(Table1[[#This Row],[Discount]],"%",""))/100</f>
        <v>0.05</v>
      </c>
    </row>
    <row r="205" spans="1:11" x14ac:dyDescent="0.35">
      <c r="A205">
        <v>1203</v>
      </c>
      <c r="B205" s="1">
        <v>45794</v>
      </c>
      <c r="C205" t="s">
        <v>208</v>
      </c>
      <c r="D205" t="s">
        <v>980</v>
      </c>
      <c r="E205" t="s">
        <v>996</v>
      </c>
      <c r="F205" t="s">
        <v>999</v>
      </c>
      <c r="G205">
        <v>1</v>
      </c>
      <c r="H205">
        <v>250</v>
      </c>
      <c r="I205" t="s">
        <v>1003</v>
      </c>
      <c r="J205">
        <f>Table1[[#This Row],[Quantity]]*Table1[[#This Row],[Price]]*(1-Table1[[#This Row],[Discount]])</f>
        <v>212.5</v>
      </c>
      <c r="K205">
        <f>VALUE(SUBSTITUTE(Table1[[#This Row],[Discount]],"%",""))/100</f>
        <v>0.15</v>
      </c>
    </row>
    <row r="206" spans="1:11" x14ac:dyDescent="0.35">
      <c r="A206">
        <v>1204</v>
      </c>
      <c r="B206" s="1">
        <v>45609</v>
      </c>
      <c r="C206" t="s">
        <v>209</v>
      </c>
      <c r="D206" t="s">
        <v>979</v>
      </c>
      <c r="E206" t="s">
        <v>985</v>
      </c>
      <c r="F206" t="s">
        <v>998</v>
      </c>
      <c r="G206">
        <v>8</v>
      </c>
      <c r="H206">
        <v>4500</v>
      </c>
      <c r="I206" t="s">
        <v>1004</v>
      </c>
      <c r="J206">
        <f>Table1[[#This Row],[Quantity]]*Table1[[#This Row],[Price]]*(1-Table1[[#This Row],[Discount]])</f>
        <v>32400</v>
      </c>
      <c r="K206">
        <f>VALUE(SUBSTITUTE(Table1[[#This Row],[Discount]],"%",""))/100</f>
        <v>0.1</v>
      </c>
    </row>
    <row r="207" spans="1:11" x14ac:dyDescent="0.35">
      <c r="A207">
        <v>1205</v>
      </c>
      <c r="B207" s="1">
        <v>45691</v>
      </c>
      <c r="C207" t="s">
        <v>210</v>
      </c>
      <c r="D207" t="s">
        <v>980</v>
      </c>
      <c r="E207" t="s">
        <v>986</v>
      </c>
      <c r="F207" t="s">
        <v>997</v>
      </c>
      <c r="G207">
        <v>7</v>
      </c>
      <c r="H207">
        <v>1500</v>
      </c>
      <c r="I207" t="s">
        <v>1001</v>
      </c>
      <c r="J207">
        <f>Table1[[#This Row],[Quantity]]*Table1[[#This Row],[Price]]*(1-Table1[[#This Row],[Discount]])</f>
        <v>10500</v>
      </c>
      <c r="K207">
        <f>VALUE(SUBSTITUTE(Table1[[#This Row],[Discount]],"%",""))/100</f>
        <v>0</v>
      </c>
    </row>
    <row r="208" spans="1:11" x14ac:dyDescent="0.35">
      <c r="A208">
        <v>1206</v>
      </c>
      <c r="B208" s="1">
        <v>45625</v>
      </c>
      <c r="C208" t="s">
        <v>211</v>
      </c>
      <c r="D208" t="s">
        <v>981</v>
      </c>
      <c r="E208" t="s">
        <v>987</v>
      </c>
      <c r="F208" t="s">
        <v>999</v>
      </c>
      <c r="G208">
        <v>7</v>
      </c>
      <c r="H208">
        <v>4500</v>
      </c>
      <c r="I208" t="s">
        <v>1002</v>
      </c>
      <c r="J208">
        <f>Table1[[#This Row],[Quantity]]*Table1[[#This Row],[Price]]*(1-Table1[[#This Row],[Discount]])</f>
        <v>25200</v>
      </c>
      <c r="K208">
        <f>VALUE(SUBSTITUTE(Table1[[#This Row],[Discount]],"%",""))/100</f>
        <v>0.2</v>
      </c>
    </row>
    <row r="209" spans="1:11" x14ac:dyDescent="0.35">
      <c r="A209">
        <v>1207</v>
      </c>
      <c r="B209" s="1">
        <v>45770</v>
      </c>
      <c r="C209" t="s">
        <v>212</v>
      </c>
      <c r="D209" t="s">
        <v>981</v>
      </c>
      <c r="E209" t="s">
        <v>992</v>
      </c>
      <c r="F209" t="s">
        <v>998</v>
      </c>
      <c r="G209">
        <v>7</v>
      </c>
      <c r="H209">
        <v>1500</v>
      </c>
      <c r="I209" t="s">
        <v>1004</v>
      </c>
      <c r="J209">
        <f>Table1[[#This Row],[Quantity]]*Table1[[#This Row],[Price]]*(1-Table1[[#This Row],[Discount]])</f>
        <v>9450</v>
      </c>
      <c r="K209">
        <f>VALUE(SUBSTITUTE(Table1[[#This Row],[Discount]],"%",""))/100</f>
        <v>0.1</v>
      </c>
    </row>
    <row r="210" spans="1:11" x14ac:dyDescent="0.35">
      <c r="A210">
        <v>1208</v>
      </c>
      <c r="B210" s="1">
        <v>45515</v>
      </c>
      <c r="C210" t="s">
        <v>213</v>
      </c>
      <c r="D210" t="s">
        <v>981</v>
      </c>
      <c r="E210" t="s">
        <v>982</v>
      </c>
      <c r="F210" t="s">
        <v>997</v>
      </c>
      <c r="G210">
        <v>1</v>
      </c>
      <c r="H210">
        <v>100</v>
      </c>
      <c r="I210" t="s">
        <v>1000</v>
      </c>
      <c r="J210">
        <f>Table1[[#This Row],[Quantity]]*Table1[[#This Row],[Price]]*(1-Table1[[#This Row],[Discount]])</f>
        <v>95</v>
      </c>
      <c r="K210">
        <f>VALUE(SUBSTITUTE(Table1[[#This Row],[Discount]],"%",""))/100</f>
        <v>0.05</v>
      </c>
    </row>
    <row r="211" spans="1:11" x14ac:dyDescent="0.35">
      <c r="A211">
        <v>1209</v>
      </c>
      <c r="B211" s="1">
        <v>45801</v>
      </c>
      <c r="C211" t="s">
        <v>214</v>
      </c>
      <c r="D211" t="s">
        <v>980</v>
      </c>
      <c r="E211" t="s">
        <v>983</v>
      </c>
      <c r="F211" t="s">
        <v>997</v>
      </c>
      <c r="G211">
        <v>6</v>
      </c>
      <c r="H211">
        <v>1500</v>
      </c>
      <c r="I211" t="s">
        <v>1000</v>
      </c>
      <c r="J211">
        <f>Table1[[#This Row],[Quantity]]*Table1[[#This Row],[Price]]*(1-Table1[[#This Row],[Discount]])</f>
        <v>8550</v>
      </c>
      <c r="K211">
        <f>VALUE(SUBSTITUTE(Table1[[#This Row],[Discount]],"%",""))/100</f>
        <v>0.05</v>
      </c>
    </row>
    <row r="212" spans="1:11" x14ac:dyDescent="0.35">
      <c r="A212">
        <v>1210</v>
      </c>
      <c r="B212" s="1">
        <v>45756</v>
      </c>
      <c r="C212" t="s">
        <v>1005</v>
      </c>
      <c r="D212" t="s">
        <v>981</v>
      </c>
      <c r="E212" t="s">
        <v>989</v>
      </c>
      <c r="F212" t="s">
        <v>999</v>
      </c>
      <c r="G212">
        <v>9</v>
      </c>
      <c r="H212">
        <v>4500</v>
      </c>
      <c r="I212" t="s">
        <v>1002</v>
      </c>
      <c r="J212">
        <f>Table1[[#This Row],[Quantity]]*Table1[[#This Row],[Price]]*(1-Table1[[#This Row],[Discount]])</f>
        <v>32400</v>
      </c>
      <c r="K212">
        <f>VALUE(SUBSTITUTE(Table1[[#This Row],[Discount]],"%",""))/100</f>
        <v>0.2</v>
      </c>
    </row>
    <row r="213" spans="1:11" x14ac:dyDescent="0.35">
      <c r="A213">
        <v>1211</v>
      </c>
      <c r="B213" s="1">
        <v>45702</v>
      </c>
      <c r="C213" t="s">
        <v>215</v>
      </c>
      <c r="D213" t="s">
        <v>980</v>
      </c>
      <c r="E213" t="s">
        <v>984</v>
      </c>
      <c r="F213" t="s">
        <v>998</v>
      </c>
      <c r="G213">
        <v>10</v>
      </c>
      <c r="H213">
        <v>1000</v>
      </c>
      <c r="I213" t="s">
        <v>1001</v>
      </c>
      <c r="J213">
        <f>Table1[[#This Row],[Quantity]]*Table1[[#This Row],[Price]]*(1-Table1[[#This Row],[Discount]])</f>
        <v>10000</v>
      </c>
      <c r="K213">
        <f>VALUE(SUBSTITUTE(Table1[[#This Row],[Discount]],"%",""))/100</f>
        <v>0</v>
      </c>
    </row>
    <row r="214" spans="1:11" x14ac:dyDescent="0.35">
      <c r="A214">
        <v>1212</v>
      </c>
      <c r="B214" s="1">
        <v>45796</v>
      </c>
      <c r="C214" t="s">
        <v>76</v>
      </c>
      <c r="D214" t="s">
        <v>980</v>
      </c>
      <c r="E214" t="s">
        <v>995</v>
      </c>
      <c r="F214" t="s">
        <v>997</v>
      </c>
      <c r="G214">
        <v>4</v>
      </c>
      <c r="H214">
        <v>100</v>
      </c>
      <c r="I214" t="s">
        <v>1002</v>
      </c>
      <c r="J214">
        <f>Table1[[#This Row],[Quantity]]*Table1[[#This Row],[Price]]*(1-Table1[[#This Row],[Discount]])</f>
        <v>320</v>
      </c>
      <c r="K214">
        <f>VALUE(SUBSTITUTE(Table1[[#This Row],[Discount]],"%",""))/100</f>
        <v>0.2</v>
      </c>
    </row>
    <row r="215" spans="1:11" x14ac:dyDescent="0.35">
      <c r="A215">
        <v>1213</v>
      </c>
      <c r="B215" s="1">
        <v>45612</v>
      </c>
      <c r="C215" t="s">
        <v>216</v>
      </c>
      <c r="D215" t="s">
        <v>979</v>
      </c>
      <c r="E215" t="s">
        <v>988</v>
      </c>
      <c r="F215" t="s">
        <v>999</v>
      </c>
      <c r="G215">
        <v>4</v>
      </c>
      <c r="H215">
        <v>100</v>
      </c>
      <c r="I215" t="s">
        <v>1002</v>
      </c>
      <c r="J215">
        <f>Table1[[#This Row],[Quantity]]*Table1[[#This Row],[Price]]*(1-Table1[[#This Row],[Discount]])</f>
        <v>320</v>
      </c>
      <c r="K215">
        <f>VALUE(SUBSTITUTE(Table1[[#This Row],[Discount]],"%",""))/100</f>
        <v>0.2</v>
      </c>
    </row>
    <row r="216" spans="1:11" x14ac:dyDescent="0.35">
      <c r="A216">
        <v>1214</v>
      </c>
      <c r="B216" s="1">
        <v>45745</v>
      </c>
      <c r="C216" t="s">
        <v>217</v>
      </c>
      <c r="D216" t="s">
        <v>978</v>
      </c>
      <c r="E216" t="s">
        <v>988</v>
      </c>
      <c r="F216" t="s">
        <v>999</v>
      </c>
      <c r="G216">
        <v>7</v>
      </c>
      <c r="H216">
        <v>4500</v>
      </c>
      <c r="I216" t="s">
        <v>1001</v>
      </c>
      <c r="J216">
        <f>Table1[[#This Row],[Quantity]]*Table1[[#This Row],[Price]]*(1-Table1[[#This Row],[Discount]])</f>
        <v>31500</v>
      </c>
      <c r="K216">
        <f>VALUE(SUBSTITUTE(Table1[[#This Row],[Discount]],"%",""))/100</f>
        <v>0</v>
      </c>
    </row>
    <row r="217" spans="1:11" x14ac:dyDescent="0.35">
      <c r="A217">
        <v>1215</v>
      </c>
      <c r="B217" s="1">
        <v>45714</v>
      </c>
      <c r="C217" t="s">
        <v>218</v>
      </c>
      <c r="D217" t="s">
        <v>980</v>
      </c>
      <c r="E217" t="s">
        <v>989</v>
      </c>
      <c r="F217" t="s">
        <v>999</v>
      </c>
      <c r="G217">
        <v>7</v>
      </c>
      <c r="H217">
        <v>1500</v>
      </c>
      <c r="I217" t="s">
        <v>1000</v>
      </c>
      <c r="J217">
        <f>Table1[[#This Row],[Quantity]]*Table1[[#This Row],[Price]]*(1-Table1[[#This Row],[Discount]])</f>
        <v>9975</v>
      </c>
      <c r="K217">
        <f>VALUE(SUBSTITUTE(Table1[[#This Row],[Discount]],"%",""))/100</f>
        <v>0.05</v>
      </c>
    </row>
    <row r="218" spans="1:11" x14ac:dyDescent="0.35">
      <c r="A218">
        <v>1216</v>
      </c>
      <c r="B218" s="1">
        <v>45827</v>
      </c>
      <c r="C218" t="s">
        <v>219</v>
      </c>
      <c r="D218" t="s">
        <v>978</v>
      </c>
      <c r="E218" t="s">
        <v>986</v>
      </c>
      <c r="F218" t="s">
        <v>997</v>
      </c>
      <c r="G218">
        <v>10</v>
      </c>
      <c r="H218">
        <v>4500</v>
      </c>
      <c r="I218" t="s">
        <v>1000</v>
      </c>
      <c r="J218">
        <f>Table1[[#This Row],[Quantity]]*Table1[[#This Row],[Price]]*(1-Table1[[#This Row],[Discount]])</f>
        <v>42750</v>
      </c>
      <c r="K218">
        <f>VALUE(SUBSTITUTE(Table1[[#This Row],[Discount]],"%",""))/100</f>
        <v>0.05</v>
      </c>
    </row>
    <row r="219" spans="1:11" x14ac:dyDescent="0.35">
      <c r="A219">
        <v>1217</v>
      </c>
      <c r="B219" s="1">
        <v>45824</v>
      </c>
      <c r="C219" t="s">
        <v>220</v>
      </c>
      <c r="D219" t="s">
        <v>980</v>
      </c>
      <c r="E219" t="s">
        <v>993</v>
      </c>
      <c r="F219" t="s">
        <v>999</v>
      </c>
      <c r="G219">
        <v>4</v>
      </c>
      <c r="H219">
        <v>4500</v>
      </c>
      <c r="I219" t="s">
        <v>1004</v>
      </c>
      <c r="J219">
        <f>Table1[[#This Row],[Quantity]]*Table1[[#This Row],[Price]]*(1-Table1[[#This Row],[Discount]])</f>
        <v>16200</v>
      </c>
      <c r="K219">
        <f>VALUE(SUBSTITUTE(Table1[[#This Row],[Discount]],"%",""))/100</f>
        <v>0.1</v>
      </c>
    </row>
    <row r="220" spans="1:11" x14ac:dyDescent="0.35">
      <c r="A220">
        <v>1218</v>
      </c>
      <c r="B220" s="1">
        <v>45774</v>
      </c>
      <c r="C220" t="s">
        <v>221</v>
      </c>
      <c r="D220" t="s">
        <v>981</v>
      </c>
      <c r="E220" t="s">
        <v>993</v>
      </c>
      <c r="F220" t="s">
        <v>999</v>
      </c>
      <c r="G220">
        <v>2</v>
      </c>
      <c r="H220">
        <v>2500</v>
      </c>
      <c r="I220" t="s">
        <v>1003</v>
      </c>
      <c r="J220">
        <f>Table1[[#This Row],[Quantity]]*Table1[[#This Row],[Price]]*(1-Table1[[#This Row],[Discount]])</f>
        <v>4250</v>
      </c>
      <c r="K220">
        <f>VALUE(SUBSTITUTE(Table1[[#This Row],[Discount]],"%",""))/100</f>
        <v>0.15</v>
      </c>
    </row>
    <row r="221" spans="1:11" x14ac:dyDescent="0.35">
      <c r="A221">
        <v>1219</v>
      </c>
      <c r="B221" s="1">
        <v>45595</v>
      </c>
      <c r="C221" t="s">
        <v>222</v>
      </c>
      <c r="D221" t="s">
        <v>980</v>
      </c>
      <c r="E221" t="s">
        <v>987</v>
      </c>
      <c r="F221" t="s">
        <v>999</v>
      </c>
      <c r="G221">
        <v>6</v>
      </c>
      <c r="H221">
        <v>4500</v>
      </c>
      <c r="I221" t="s">
        <v>1004</v>
      </c>
      <c r="J221">
        <f>Table1[[#This Row],[Quantity]]*Table1[[#This Row],[Price]]*(1-Table1[[#This Row],[Discount]])</f>
        <v>24300</v>
      </c>
      <c r="K221">
        <f>VALUE(SUBSTITUTE(Table1[[#This Row],[Discount]],"%",""))/100</f>
        <v>0.1</v>
      </c>
    </row>
    <row r="222" spans="1:11" x14ac:dyDescent="0.35">
      <c r="A222">
        <v>1220</v>
      </c>
      <c r="B222" s="1">
        <v>45733</v>
      </c>
      <c r="C222" t="s">
        <v>223</v>
      </c>
      <c r="D222" t="s">
        <v>978</v>
      </c>
      <c r="E222" t="s">
        <v>986</v>
      </c>
      <c r="F222" t="s">
        <v>997</v>
      </c>
      <c r="G222">
        <v>3</v>
      </c>
      <c r="H222">
        <v>250</v>
      </c>
      <c r="I222" t="s">
        <v>1002</v>
      </c>
      <c r="J222">
        <f>Table1[[#This Row],[Quantity]]*Table1[[#This Row],[Price]]*(1-Table1[[#This Row],[Discount]])</f>
        <v>600</v>
      </c>
      <c r="K222">
        <f>VALUE(SUBSTITUTE(Table1[[#This Row],[Discount]],"%",""))/100</f>
        <v>0.2</v>
      </c>
    </row>
    <row r="223" spans="1:11" x14ac:dyDescent="0.35">
      <c r="A223">
        <v>1221</v>
      </c>
      <c r="B223" s="1">
        <v>45608</v>
      </c>
      <c r="C223" t="s">
        <v>224</v>
      </c>
      <c r="D223" t="s">
        <v>981</v>
      </c>
      <c r="E223" t="s">
        <v>983</v>
      </c>
      <c r="F223" t="s">
        <v>997</v>
      </c>
      <c r="G223">
        <v>1</v>
      </c>
      <c r="H223">
        <v>250</v>
      </c>
      <c r="I223" t="s">
        <v>1003</v>
      </c>
      <c r="J223">
        <f>Table1[[#This Row],[Quantity]]*Table1[[#This Row],[Price]]*(1-Table1[[#This Row],[Discount]])</f>
        <v>212.5</v>
      </c>
      <c r="K223">
        <f>VALUE(SUBSTITUTE(Table1[[#This Row],[Discount]],"%",""))/100</f>
        <v>0.15</v>
      </c>
    </row>
    <row r="224" spans="1:11" x14ac:dyDescent="0.35">
      <c r="A224">
        <v>1222</v>
      </c>
      <c r="B224" s="1">
        <v>45806</v>
      </c>
      <c r="C224" t="s">
        <v>225</v>
      </c>
      <c r="D224" t="s">
        <v>980</v>
      </c>
      <c r="E224" t="s">
        <v>991</v>
      </c>
      <c r="F224" t="s">
        <v>998</v>
      </c>
      <c r="G224">
        <v>3</v>
      </c>
      <c r="H224">
        <v>2500</v>
      </c>
      <c r="I224" t="s">
        <v>1003</v>
      </c>
      <c r="J224">
        <f>Table1[[#This Row],[Quantity]]*Table1[[#This Row],[Price]]*(1-Table1[[#This Row],[Discount]])</f>
        <v>6375</v>
      </c>
      <c r="K224">
        <f>VALUE(SUBSTITUTE(Table1[[#This Row],[Discount]],"%",""))/100</f>
        <v>0.15</v>
      </c>
    </row>
    <row r="225" spans="1:11" x14ac:dyDescent="0.35">
      <c r="A225">
        <v>1223</v>
      </c>
      <c r="B225" s="1">
        <v>45616</v>
      </c>
      <c r="C225" t="s">
        <v>226</v>
      </c>
      <c r="D225" t="s">
        <v>979</v>
      </c>
      <c r="E225" t="s">
        <v>987</v>
      </c>
      <c r="F225" t="s">
        <v>999</v>
      </c>
      <c r="G225">
        <v>2</v>
      </c>
      <c r="H225">
        <v>500</v>
      </c>
      <c r="I225" t="s">
        <v>1002</v>
      </c>
      <c r="J225">
        <f>Table1[[#This Row],[Quantity]]*Table1[[#This Row],[Price]]*(1-Table1[[#This Row],[Discount]])</f>
        <v>800</v>
      </c>
      <c r="K225">
        <f>VALUE(SUBSTITUTE(Table1[[#This Row],[Discount]],"%",""))/100</f>
        <v>0.2</v>
      </c>
    </row>
    <row r="226" spans="1:11" x14ac:dyDescent="0.35">
      <c r="A226">
        <v>1224</v>
      </c>
      <c r="B226" s="1">
        <v>45837</v>
      </c>
      <c r="C226" t="s">
        <v>1005</v>
      </c>
      <c r="D226" t="s">
        <v>981</v>
      </c>
      <c r="E226" t="s">
        <v>992</v>
      </c>
      <c r="F226" t="s">
        <v>998</v>
      </c>
      <c r="G226">
        <v>7</v>
      </c>
      <c r="H226">
        <v>4500</v>
      </c>
      <c r="I226" t="s">
        <v>1000</v>
      </c>
      <c r="J226">
        <f>Table1[[#This Row],[Quantity]]*Table1[[#This Row],[Price]]*(1-Table1[[#This Row],[Discount]])</f>
        <v>29925</v>
      </c>
      <c r="K226">
        <f>VALUE(SUBSTITUTE(Table1[[#This Row],[Discount]],"%",""))/100</f>
        <v>0.05</v>
      </c>
    </row>
    <row r="227" spans="1:11" x14ac:dyDescent="0.35">
      <c r="A227">
        <v>1225</v>
      </c>
      <c r="B227" s="1">
        <v>45715</v>
      </c>
      <c r="C227" t="s">
        <v>227</v>
      </c>
      <c r="D227" t="s">
        <v>980</v>
      </c>
      <c r="E227" t="s">
        <v>985</v>
      </c>
      <c r="F227" t="s">
        <v>998</v>
      </c>
      <c r="G227">
        <v>5</v>
      </c>
      <c r="H227">
        <v>4500</v>
      </c>
      <c r="I227" t="s">
        <v>1002</v>
      </c>
      <c r="J227">
        <f>Table1[[#This Row],[Quantity]]*Table1[[#This Row],[Price]]*(1-Table1[[#This Row],[Discount]])</f>
        <v>18000</v>
      </c>
      <c r="K227">
        <f>VALUE(SUBSTITUTE(Table1[[#This Row],[Discount]],"%",""))/100</f>
        <v>0.2</v>
      </c>
    </row>
    <row r="228" spans="1:11" x14ac:dyDescent="0.35">
      <c r="A228">
        <v>1226</v>
      </c>
      <c r="B228" s="1">
        <v>45838</v>
      </c>
      <c r="C228" t="s">
        <v>228</v>
      </c>
      <c r="D228" t="s">
        <v>980</v>
      </c>
      <c r="E228" t="s">
        <v>988</v>
      </c>
      <c r="F228" t="s">
        <v>999</v>
      </c>
      <c r="G228">
        <v>2</v>
      </c>
      <c r="H228">
        <v>1500</v>
      </c>
      <c r="I228" t="s">
        <v>1000</v>
      </c>
      <c r="J228">
        <f>Table1[[#This Row],[Quantity]]*Table1[[#This Row],[Price]]*(1-Table1[[#This Row],[Discount]])</f>
        <v>2850</v>
      </c>
      <c r="K228">
        <f>VALUE(SUBSTITUTE(Table1[[#This Row],[Discount]],"%",""))/100</f>
        <v>0.05</v>
      </c>
    </row>
    <row r="229" spans="1:11" x14ac:dyDescent="0.35">
      <c r="A229">
        <v>1227</v>
      </c>
      <c r="B229" s="1">
        <v>45591</v>
      </c>
      <c r="C229" t="s">
        <v>229</v>
      </c>
      <c r="D229" t="s">
        <v>980</v>
      </c>
      <c r="E229" t="s">
        <v>993</v>
      </c>
      <c r="F229" t="s">
        <v>999</v>
      </c>
      <c r="G229">
        <v>10</v>
      </c>
      <c r="H229">
        <v>500</v>
      </c>
      <c r="I229" t="s">
        <v>1000</v>
      </c>
      <c r="J229">
        <f>Table1[[#This Row],[Quantity]]*Table1[[#This Row],[Price]]*(1-Table1[[#This Row],[Discount]])</f>
        <v>4750</v>
      </c>
      <c r="K229">
        <f>VALUE(SUBSTITUTE(Table1[[#This Row],[Discount]],"%",""))/100</f>
        <v>0.05</v>
      </c>
    </row>
    <row r="230" spans="1:11" x14ac:dyDescent="0.35">
      <c r="A230">
        <v>1228</v>
      </c>
      <c r="B230" s="1">
        <v>45684</v>
      </c>
      <c r="C230" t="s">
        <v>1005</v>
      </c>
      <c r="D230" t="s">
        <v>981</v>
      </c>
      <c r="E230" t="s">
        <v>982</v>
      </c>
      <c r="F230" t="s">
        <v>997</v>
      </c>
      <c r="G230">
        <v>3</v>
      </c>
      <c r="H230">
        <v>300</v>
      </c>
      <c r="I230" t="s">
        <v>1003</v>
      </c>
      <c r="J230">
        <f>Table1[[#This Row],[Quantity]]*Table1[[#This Row],[Price]]*(1-Table1[[#This Row],[Discount]])</f>
        <v>765</v>
      </c>
      <c r="K230">
        <f>VALUE(SUBSTITUTE(Table1[[#This Row],[Discount]],"%",""))/100</f>
        <v>0.15</v>
      </c>
    </row>
    <row r="231" spans="1:11" x14ac:dyDescent="0.35">
      <c r="A231">
        <v>1229</v>
      </c>
      <c r="B231" s="1">
        <v>45758</v>
      </c>
      <c r="C231" t="s">
        <v>230</v>
      </c>
      <c r="D231" t="s">
        <v>979</v>
      </c>
      <c r="E231" t="s">
        <v>993</v>
      </c>
      <c r="F231" t="s">
        <v>999</v>
      </c>
      <c r="G231">
        <v>6</v>
      </c>
      <c r="H231">
        <v>1000</v>
      </c>
      <c r="I231" t="s">
        <v>1002</v>
      </c>
      <c r="J231">
        <f>Table1[[#This Row],[Quantity]]*Table1[[#This Row],[Price]]*(1-Table1[[#This Row],[Discount]])</f>
        <v>4800</v>
      </c>
      <c r="K231">
        <f>VALUE(SUBSTITUTE(Table1[[#This Row],[Discount]],"%",""))/100</f>
        <v>0.2</v>
      </c>
    </row>
    <row r="232" spans="1:11" x14ac:dyDescent="0.35">
      <c r="A232">
        <v>1230</v>
      </c>
      <c r="B232" s="1">
        <v>45515</v>
      </c>
      <c r="C232" t="s">
        <v>231</v>
      </c>
      <c r="D232" t="s">
        <v>980</v>
      </c>
      <c r="E232" t="s">
        <v>982</v>
      </c>
      <c r="F232" t="s">
        <v>997</v>
      </c>
      <c r="G232">
        <v>8</v>
      </c>
      <c r="H232">
        <v>1000</v>
      </c>
      <c r="I232" t="s">
        <v>1000</v>
      </c>
      <c r="J232">
        <f>Table1[[#This Row],[Quantity]]*Table1[[#This Row],[Price]]*(1-Table1[[#This Row],[Discount]])</f>
        <v>7600</v>
      </c>
      <c r="K232">
        <f>VALUE(SUBSTITUTE(Table1[[#This Row],[Discount]],"%",""))/100</f>
        <v>0.05</v>
      </c>
    </row>
    <row r="233" spans="1:11" x14ac:dyDescent="0.35">
      <c r="A233">
        <v>1231</v>
      </c>
      <c r="B233" s="1">
        <v>45539</v>
      </c>
      <c r="C233" t="s">
        <v>232</v>
      </c>
      <c r="D233" t="s">
        <v>978</v>
      </c>
      <c r="E233" t="s">
        <v>987</v>
      </c>
      <c r="F233" t="s">
        <v>999</v>
      </c>
      <c r="G233">
        <v>5</v>
      </c>
      <c r="H233">
        <v>1500</v>
      </c>
      <c r="I233" t="s">
        <v>1002</v>
      </c>
      <c r="J233">
        <f>Table1[[#This Row],[Quantity]]*Table1[[#This Row],[Price]]*(1-Table1[[#This Row],[Discount]])</f>
        <v>6000</v>
      </c>
      <c r="K233">
        <f>VALUE(SUBSTITUTE(Table1[[#This Row],[Discount]],"%",""))/100</f>
        <v>0.2</v>
      </c>
    </row>
    <row r="234" spans="1:11" x14ac:dyDescent="0.35">
      <c r="A234">
        <v>1232</v>
      </c>
      <c r="B234" s="1">
        <v>45678</v>
      </c>
      <c r="C234" t="s">
        <v>233</v>
      </c>
      <c r="D234" t="s">
        <v>980</v>
      </c>
      <c r="E234" t="s">
        <v>995</v>
      </c>
      <c r="F234" t="s">
        <v>997</v>
      </c>
      <c r="G234">
        <v>6</v>
      </c>
      <c r="H234">
        <v>2500</v>
      </c>
      <c r="I234" t="s">
        <v>1002</v>
      </c>
      <c r="J234">
        <f>Table1[[#This Row],[Quantity]]*Table1[[#This Row],[Price]]*(1-Table1[[#This Row],[Discount]])</f>
        <v>12000</v>
      </c>
      <c r="K234">
        <f>VALUE(SUBSTITUTE(Table1[[#This Row],[Discount]],"%",""))/100</f>
        <v>0.2</v>
      </c>
    </row>
    <row r="235" spans="1:11" x14ac:dyDescent="0.35">
      <c r="A235">
        <v>1233</v>
      </c>
      <c r="B235" s="1">
        <v>45560</v>
      </c>
      <c r="C235" t="s">
        <v>234</v>
      </c>
      <c r="D235" t="s">
        <v>981</v>
      </c>
      <c r="E235" t="s">
        <v>991</v>
      </c>
      <c r="F235" t="s">
        <v>998</v>
      </c>
      <c r="G235">
        <v>2</v>
      </c>
      <c r="H235">
        <v>4500</v>
      </c>
      <c r="I235" t="s">
        <v>1002</v>
      </c>
      <c r="J235">
        <f>Table1[[#This Row],[Quantity]]*Table1[[#This Row],[Price]]*(1-Table1[[#This Row],[Discount]])</f>
        <v>7200</v>
      </c>
      <c r="K235">
        <f>VALUE(SUBSTITUTE(Table1[[#This Row],[Discount]],"%",""))/100</f>
        <v>0.2</v>
      </c>
    </row>
    <row r="236" spans="1:11" x14ac:dyDescent="0.35">
      <c r="A236">
        <v>1234</v>
      </c>
      <c r="B236" s="1">
        <v>45743</v>
      </c>
      <c r="C236" t="s">
        <v>235</v>
      </c>
      <c r="D236" t="s">
        <v>981</v>
      </c>
      <c r="E236" t="s">
        <v>995</v>
      </c>
      <c r="F236" t="s">
        <v>997</v>
      </c>
      <c r="G236">
        <v>4</v>
      </c>
      <c r="H236">
        <v>300</v>
      </c>
      <c r="I236" t="s">
        <v>1000</v>
      </c>
      <c r="J236">
        <f>Table1[[#This Row],[Quantity]]*Table1[[#This Row],[Price]]*(1-Table1[[#This Row],[Discount]])</f>
        <v>1140</v>
      </c>
      <c r="K236">
        <f>VALUE(SUBSTITUTE(Table1[[#This Row],[Discount]],"%",""))/100</f>
        <v>0.05</v>
      </c>
    </row>
    <row r="237" spans="1:11" x14ac:dyDescent="0.35">
      <c r="A237">
        <v>1235</v>
      </c>
      <c r="B237" s="1">
        <v>45832</v>
      </c>
      <c r="C237" t="s">
        <v>236</v>
      </c>
      <c r="D237" t="s">
        <v>980</v>
      </c>
      <c r="E237" t="s">
        <v>995</v>
      </c>
      <c r="F237" t="s">
        <v>997</v>
      </c>
      <c r="G237">
        <v>8</v>
      </c>
      <c r="H237">
        <v>250</v>
      </c>
      <c r="I237" t="s">
        <v>1002</v>
      </c>
      <c r="J237">
        <f>Table1[[#This Row],[Quantity]]*Table1[[#This Row],[Price]]*(1-Table1[[#This Row],[Discount]])</f>
        <v>1600</v>
      </c>
      <c r="K237">
        <f>VALUE(SUBSTITUTE(Table1[[#This Row],[Discount]],"%",""))/100</f>
        <v>0.2</v>
      </c>
    </row>
    <row r="238" spans="1:11" x14ac:dyDescent="0.35">
      <c r="A238">
        <v>1236</v>
      </c>
      <c r="B238" s="1">
        <v>45744</v>
      </c>
      <c r="C238" t="s">
        <v>237</v>
      </c>
      <c r="D238" t="s">
        <v>979</v>
      </c>
      <c r="E238" t="s">
        <v>989</v>
      </c>
      <c r="F238" t="s">
        <v>999</v>
      </c>
      <c r="G238">
        <v>1</v>
      </c>
      <c r="H238">
        <v>4500</v>
      </c>
      <c r="I238" t="s">
        <v>1004</v>
      </c>
      <c r="J238">
        <f>Table1[[#This Row],[Quantity]]*Table1[[#This Row],[Price]]*(1-Table1[[#This Row],[Discount]])</f>
        <v>4050</v>
      </c>
      <c r="K238">
        <f>VALUE(SUBSTITUTE(Table1[[#This Row],[Discount]],"%",""))/100</f>
        <v>0.1</v>
      </c>
    </row>
    <row r="239" spans="1:11" x14ac:dyDescent="0.35">
      <c r="A239">
        <v>1237</v>
      </c>
      <c r="B239" s="1">
        <v>45514</v>
      </c>
      <c r="C239" t="s">
        <v>238</v>
      </c>
      <c r="D239" t="s">
        <v>979</v>
      </c>
      <c r="E239" t="s">
        <v>982</v>
      </c>
      <c r="F239" t="s">
        <v>997</v>
      </c>
      <c r="G239">
        <v>1</v>
      </c>
      <c r="H239">
        <v>2500</v>
      </c>
      <c r="I239" t="s">
        <v>1004</v>
      </c>
      <c r="J239">
        <f>Table1[[#This Row],[Quantity]]*Table1[[#This Row],[Price]]*(1-Table1[[#This Row],[Discount]])</f>
        <v>2250</v>
      </c>
      <c r="K239">
        <f>VALUE(SUBSTITUTE(Table1[[#This Row],[Discount]],"%",""))/100</f>
        <v>0.1</v>
      </c>
    </row>
    <row r="240" spans="1:11" x14ac:dyDescent="0.35">
      <c r="A240">
        <v>1238</v>
      </c>
      <c r="B240" s="1">
        <v>45612</v>
      </c>
      <c r="C240" t="s">
        <v>239</v>
      </c>
      <c r="D240" t="s">
        <v>978</v>
      </c>
      <c r="E240" t="s">
        <v>987</v>
      </c>
      <c r="F240" t="s">
        <v>999</v>
      </c>
      <c r="G240">
        <v>5</v>
      </c>
      <c r="H240">
        <v>2500</v>
      </c>
      <c r="I240" t="s">
        <v>1000</v>
      </c>
      <c r="J240">
        <f>Table1[[#This Row],[Quantity]]*Table1[[#This Row],[Price]]*(1-Table1[[#This Row],[Discount]])</f>
        <v>11875</v>
      </c>
      <c r="K240">
        <f>VALUE(SUBSTITUTE(Table1[[#This Row],[Discount]],"%",""))/100</f>
        <v>0.05</v>
      </c>
    </row>
    <row r="241" spans="1:11" x14ac:dyDescent="0.35">
      <c r="A241">
        <v>1239</v>
      </c>
      <c r="B241" s="1">
        <v>45747</v>
      </c>
      <c r="C241" t="s">
        <v>240</v>
      </c>
      <c r="D241" t="s">
        <v>980</v>
      </c>
      <c r="E241" t="s">
        <v>993</v>
      </c>
      <c r="F241" t="s">
        <v>999</v>
      </c>
      <c r="G241">
        <v>7</v>
      </c>
      <c r="H241">
        <v>4500</v>
      </c>
      <c r="I241" t="s">
        <v>1003</v>
      </c>
      <c r="J241">
        <f>Table1[[#This Row],[Quantity]]*Table1[[#This Row],[Price]]*(1-Table1[[#This Row],[Discount]])</f>
        <v>26775</v>
      </c>
      <c r="K241">
        <f>VALUE(SUBSTITUTE(Table1[[#This Row],[Discount]],"%",""))/100</f>
        <v>0.15</v>
      </c>
    </row>
    <row r="242" spans="1:11" x14ac:dyDescent="0.35">
      <c r="A242">
        <v>1240</v>
      </c>
      <c r="B242" s="1">
        <v>45617</v>
      </c>
      <c r="C242" t="s">
        <v>241</v>
      </c>
      <c r="D242" t="s">
        <v>980</v>
      </c>
      <c r="E242" t="s">
        <v>985</v>
      </c>
      <c r="F242" t="s">
        <v>998</v>
      </c>
      <c r="G242">
        <v>2</v>
      </c>
      <c r="H242">
        <v>300</v>
      </c>
      <c r="I242" t="s">
        <v>1002</v>
      </c>
      <c r="J242">
        <f>Table1[[#This Row],[Quantity]]*Table1[[#This Row],[Price]]*(1-Table1[[#This Row],[Discount]])</f>
        <v>480</v>
      </c>
      <c r="K242">
        <f>VALUE(SUBSTITUTE(Table1[[#This Row],[Discount]],"%",""))/100</f>
        <v>0.2</v>
      </c>
    </row>
    <row r="243" spans="1:11" x14ac:dyDescent="0.35">
      <c r="A243">
        <v>1241</v>
      </c>
      <c r="B243" s="1">
        <v>45614</v>
      </c>
      <c r="C243" t="s">
        <v>242</v>
      </c>
      <c r="D243" t="s">
        <v>980</v>
      </c>
      <c r="E243" t="s">
        <v>992</v>
      </c>
      <c r="F243" t="s">
        <v>998</v>
      </c>
      <c r="G243">
        <v>5</v>
      </c>
      <c r="H243">
        <v>4500</v>
      </c>
      <c r="I243" t="s">
        <v>1002</v>
      </c>
      <c r="J243">
        <f>Table1[[#This Row],[Quantity]]*Table1[[#This Row],[Price]]*(1-Table1[[#This Row],[Discount]])</f>
        <v>18000</v>
      </c>
      <c r="K243">
        <f>VALUE(SUBSTITUTE(Table1[[#This Row],[Discount]],"%",""))/100</f>
        <v>0.2</v>
      </c>
    </row>
    <row r="244" spans="1:11" x14ac:dyDescent="0.35">
      <c r="A244">
        <v>1242</v>
      </c>
      <c r="B244" s="1">
        <v>45661</v>
      </c>
      <c r="C244" t="s">
        <v>243</v>
      </c>
      <c r="D244" t="s">
        <v>979</v>
      </c>
      <c r="E244" t="s">
        <v>988</v>
      </c>
      <c r="F244" t="s">
        <v>999</v>
      </c>
      <c r="G244">
        <v>5</v>
      </c>
      <c r="H244">
        <v>500</v>
      </c>
      <c r="I244" t="s">
        <v>1001</v>
      </c>
      <c r="J244">
        <f>Table1[[#This Row],[Quantity]]*Table1[[#This Row],[Price]]*(1-Table1[[#This Row],[Discount]])</f>
        <v>2500</v>
      </c>
      <c r="K244">
        <f>VALUE(SUBSTITUTE(Table1[[#This Row],[Discount]],"%",""))/100</f>
        <v>0</v>
      </c>
    </row>
    <row r="245" spans="1:11" x14ac:dyDescent="0.35">
      <c r="A245">
        <v>1243</v>
      </c>
      <c r="B245" s="1">
        <v>45531</v>
      </c>
      <c r="C245" t="s">
        <v>244</v>
      </c>
      <c r="D245" t="s">
        <v>979</v>
      </c>
      <c r="E245" t="s">
        <v>990</v>
      </c>
      <c r="F245" t="s">
        <v>998</v>
      </c>
      <c r="G245">
        <v>4</v>
      </c>
      <c r="H245">
        <v>250</v>
      </c>
      <c r="I245" t="s">
        <v>1001</v>
      </c>
      <c r="J245">
        <f>Table1[[#This Row],[Quantity]]*Table1[[#This Row],[Price]]*(1-Table1[[#This Row],[Discount]])</f>
        <v>1000</v>
      </c>
      <c r="K245">
        <f>VALUE(SUBSTITUTE(Table1[[#This Row],[Discount]],"%",""))/100</f>
        <v>0</v>
      </c>
    </row>
    <row r="246" spans="1:11" x14ac:dyDescent="0.35">
      <c r="A246">
        <v>1244</v>
      </c>
      <c r="B246" s="1">
        <v>45694</v>
      </c>
      <c r="C246" t="s">
        <v>245</v>
      </c>
      <c r="D246" t="s">
        <v>978</v>
      </c>
      <c r="E246" t="s">
        <v>992</v>
      </c>
      <c r="F246" t="s">
        <v>998</v>
      </c>
      <c r="G246">
        <v>7</v>
      </c>
      <c r="H246">
        <v>4500</v>
      </c>
      <c r="I246" t="s">
        <v>1000</v>
      </c>
      <c r="J246">
        <f>Table1[[#This Row],[Quantity]]*Table1[[#This Row],[Price]]*(1-Table1[[#This Row],[Discount]])</f>
        <v>29925</v>
      </c>
      <c r="K246">
        <f>VALUE(SUBSTITUTE(Table1[[#This Row],[Discount]],"%",""))/100</f>
        <v>0.05</v>
      </c>
    </row>
    <row r="247" spans="1:11" x14ac:dyDescent="0.35">
      <c r="A247">
        <v>1245</v>
      </c>
      <c r="B247" s="1">
        <v>45599</v>
      </c>
      <c r="C247" t="s">
        <v>246</v>
      </c>
      <c r="D247" t="s">
        <v>981</v>
      </c>
      <c r="E247" t="s">
        <v>988</v>
      </c>
      <c r="F247" t="s">
        <v>999</v>
      </c>
      <c r="G247">
        <v>10</v>
      </c>
      <c r="H247">
        <v>1500</v>
      </c>
      <c r="I247" t="s">
        <v>1002</v>
      </c>
      <c r="J247">
        <f>Table1[[#This Row],[Quantity]]*Table1[[#This Row],[Price]]*(1-Table1[[#This Row],[Discount]])</f>
        <v>12000</v>
      </c>
      <c r="K247">
        <f>VALUE(SUBSTITUTE(Table1[[#This Row],[Discount]],"%",""))/100</f>
        <v>0.2</v>
      </c>
    </row>
    <row r="248" spans="1:11" x14ac:dyDescent="0.35">
      <c r="A248">
        <v>1246</v>
      </c>
      <c r="B248" s="1">
        <v>45681</v>
      </c>
      <c r="C248" t="s">
        <v>247</v>
      </c>
      <c r="D248" t="s">
        <v>979</v>
      </c>
      <c r="E248" t="s">
        <v>983</v>
      </c>
      <c r="F248" t="s">
        <v>997</v>
      </c>
      <c r="G248">
        <v>7</v>
      </c>
      <c r="H248">
        <v>1000</v>
      </c>
      <c r="I248" t="s">
        <v>1004</v>
      </c>
      <c r="J248">
        <f>Table1[[#This Row],[Quantity]]*Table1[[#This Row],[Price]]*(1-Table1[[#This Row],[Discount]])</f>
        <v>6300</v>
      </c>
      <c r="K248">
        <f>VALUE(SUBSTITUTE(Table1[[#This Row],[Discount]],"%",""))/100</f>
        <v>0.1</v>
      </c>
    </row>
    <row r="249" spans="1:11" x14ac:dyDescent="0.35">
      <c r="A249">
        <v>1247</v>
      </c>
      <c r="B249" s="1">
        <v>45672</v>
      </c>
      <c r="C249" t="s">
        <v>248</v>
      </c>
      <c r="D249" t="s">
        <v>981</v>
      </c>
      <c r="E249" t="s">
        <v>984</v>
      </c>
      <c r="F249" t="s">
        <v>998</v>
      </c>
      <c r="G249">
        <v>9</v>
      </c>
      <c r="H249">
        <v>4500</v>
      </c>
      <c r="I249" t="s">
        <v>1001</v>
      </c>
      <c r="J249">
        <f>Table1[[#This Row],[Quantity]]*Table1[[#This Row],[Price]]*(1-Table1[[#This Row],[Discount]])</f>
        <v>40500</v>
      </c>
      <c r="K249">
        <f>VALUE(SUBSTITUTE(Table1[[#This Row],[Discount]],"%",""))/100</f>
        <v>0</v>
      </c>
    </row>
    <row r="250" spans="1:11" x14ac:dyDescent="0.35">
      <c r="A250">
        <v>1248</v>
      </c>
      <c r="B250" s="1">
        <v>45665</v>
      </c>
      <c r="C250" t="s">
        <v>249</v>
      </c>
      <c r="D250" t="s">
        <v>980</v>
      </c>
      <c r="E250" t="s">
        <v>996</v>
      </c>
      <c r="F250" t="s">
        <v>999</v>
      </c>
      <c r="G250">
        <v>7</v>
      </c>
      <c r="H250">
        <v>300</v>
      </c>
      <c r="I250" t="s">
        <v>1004</v>
      </c>
      <c r="J250">
        <f>Table1[[#This Row],[Quantity]]*Table1[[#This Row],[Price]]*(1-Table1[[#This Row],[Discount]])</f>
        <v>1890</v>
      </c>
      <c r="K250">
        <f>VALUE(SUBSTITUTE(Table1[[#This Row],[Discount]],"%",""))/100</f>
        <v>0.1</v>
      </c>
    </row>
    <row r="251" spans="1:11" x14ac:dyDescent="0.35">
      <c r="A251">
        <v>1249</v>
      </c>
      <c r="B251" s="1">
        <v>45650</v>
      </c>
      <c r="C251" t="s">
        <v>250</v>
      </c>
      <c r="D251" t="s">
        <v>980</v>
      </c>
      <c r="E251" t="s">
        <v>985</v>
      </c>
      <c r="F251" t="s">
        <v>998</v>
      </c>
      <c r="G251">
        <v>3</v>
      </c>
      <c r="H251">
        <v>4500</v>
      </c>
      <c r="I251" t="s">
        <v>1001</v>
      </c>
      <c r="J251">
        <f>Table1[[#This Row],[Quantity]]*Table1[[#This Row],[Price]]*(1-Table1[[#This Row],[Discount]])</f>
        <v>13500</v>
      </c>
      <c r="K251">
        <f>VALUE(SUBSTITUTE(Table1[[#This Row],[Discount]],"%",""))/100</f>
        <v>0</v>
      </c>
    </row>
    <row r="252" spans="1:11" x14ac:dyDescent="0.35">
      <c r="A252">
        <v>1250</v>
      </c>
      <c r="B252" s="1">
        <v>45640</v>
      </c>
      <c r="C252" t="s">
        <v>251</v>
      </c>
      <c r="D252" t="s">
        <v>980</v>
      </c>
      <c r="E252" t="s">
        <v>985</v>
      </c>
      <c r="F252" t="s">
        <v>998</v>
      </c>
      <c r="G252">
        <v>4</v>
      </c>
      <c r="H252">
        <v>1500</v>
      </c>
      <c r="I252" t="s">
        <v>1001</v>
      </c>
      <c r="J252">
        <f>Table1[[#This Row],[Quantity]]*Table1[[#This Row],[Price]]*(1-Table1[[#This Row],[Discount]])</f>
        <v>6000</v>
      </c>
      <c r="K252">
        <f>VALUE(SUBSTITUTE(Table1[[#This Row],[Discount]],"%",""))/100</f>
        <v>0</v>
      </c>
    </row>
    <row r="253" spans="1:11" x14ac:dyDescent="0.35">
      <c r="A253">
        <v>1251</v>
      </c>
      <c r="B253" s="1">
        <v>45823</v>
      </c>
      <c r="C253" t="s">
        <v>252</v>
      </c>
      <c r="D253" t="s">
        <v>979</v>
      </c>
      <c r="E253" t="s">
        <v>992</v>
      </c>
      <c r="F253" t="s">
        <v>998</v>
      </c>
      <c r="G253">
        <v>5</v>
      </c>
      <c r="H253">
        <v>2500</v>
      </c>
      <c r="I253" t="s">
        <v>1002</v>
      </c>
      <c r="J253">
        <f>Table1[[#This Row],[Quantity]]*Table1[[#This Row],[Price]]*(1-Table1[[#This Row],[Discount]])</f>
        <v>10000</v>
      </c>
      <c r="K253">
        <f>VALUE(SUBSTITUTE(Table1[[#This Row],[Discount]],"%",""))/100</f>
        <v>0.2</v>
      </c>
    </row>
    <row r="254" spans="1:11" x14ac:dyDescent="0.35">
      <c r="A254">
        <v>1252</v>
      </c>
      <c r="B254" s="1">
        <v>45767</v>
      </c>
      <c r="C254" t="s">
        <v>253</v>
      </c>
      <c r="D254" t="s">
        <v>981</v>
      </c>
      <c r="E254" t="s">
        <v>995</v>
      </c>
      <c r="F254" t="s">
        <v>997</v>
      </c>
      <c r="G254">
        <v>4</v>
      </c>
      <c r="H254">
        <v>4500</v>
      </c>
      <c r="I254" t="s">
        <v>1000</v>
      </c>
      <c r="J254">
        <f>Table1[[#This Row],[Quantity]]*Table1[[#This Row],[Price]]*(1-Table1[[#This Row],[Discount]])</f>
        <v>17100</v>
      </c>
      <c r="K254">
        <f>VALUE(SUBSTITUTE(Table1[[#This Row],[Discount]],"%",""))/100</f>
        <v>0.05</v>
      </c>
    </row>
    <row r="255" spans="1:11" x14ac:dyDescent="0.35">
      <c r="A255">
        <v>1253</v>
      </c>
      <c r="B255" s="1">
        <v>45790</v>
      </c>
      <c r="C255" t="s">
        <v>254</v>
      </c>
      <c r="D255" t="s">
        <v>978</v>
      </c>
      <c r="E255" t="s">
        <v>992</v>
      </c>
      <c r="F255" t="s">
        <v>998</v>
      </c>
      <c r="G255">
        <v>8</v>
      </c>
      <c r="H255">
        <v>500</v>
      </c>
      <c r="I255" t="s">
        <v>1002</v>
      </c>
      <c r="J255">
        <f>Table1[[#This Row],[Quantity]]*Table1[[#This Row],[Price]]*(1-Table1[[#This Row],[Discount]])</f>
        <v>3200</v>
      </c>
      <c r="K255">
        <f>VALUE(SUBSTITUTE(Table1[[#This Row],[Discount]],"%",""))/100</f>
        <v>0.2</v>
      </c>
    </row>
    <row r="256" spans="1:11" x14ac:dyDescent="0.35">
      <c r="A256">
        <v>1254</v>
      </c>
      <c r="B256" s="1">
        <v>45736</v>
      </c>
      <c r="C256" t="s">
        <v>255</v>
      </c>
      <c r="D256" t="s">
        <v>981</v>
      </c>
      <c r="E256" t="s">
        <v>996</v>
      </c>
      <c r="F256" t="s">
        <v>999</v>
      </c>
      <c r="G256">
        <v>8</v>
      </c>
      <c r="H256">
        <v>1500</v>
      </c>
      <c r="I256" t="s">
        <v>1004</v>
      </c>
      <c r="J256">
        <f>Table1[[#This Row],[Quantity]]*Table1[[#This Row],[Price]]*(1-Table1[[#This Row],[Discount]])</f>
        <v>10800</v>
      </c>
      <c r="K256">
        <f>VALUE(SUBSTITUTE(Table1[[#This Row],[Discount]],"%",""))/100</f>
        <v>0.1</v>
      </c>
    </row>
    <row r="257" spans="1:11" x14ac:dyDescent="0.35">
      <c r="A257">
        <v>1255</v>
      </c>
      <c r="B257" s="1">
        <v>45598</v>
      </c>
      <c r="C257" t="s">
        <v>256</v>
      </c>
      <c r="D257" t="s">
        <v>981</v>
      </c>
      <c r="E257" t="s">
        <v>994</v>
      </c>
      <c r="F257" t="s">
        <v>997</v>
      </c>
      <c r="G257">
        <v>6</v>
      </c>
      <c r="H257">
        <v>500</v>
      </c>
      <c r="I257" t="s">
        <v>1004</v>
      </c>
      <c r="J257">
        <f>Table1[[#This Row],[Quantity]]*Table1[[#This Row],[Price]]*(1-Table1[[#This Row],[Discount]])</f>
        <v>2700</v>
      </c>
      <c r="K257">
        <f>VALUE(SUBSTITUTE(Table1[[#This Row],[Discount]],"%",""))/100</f>
        <v>0.1</v>
      </c>
    </row>
    <row r="258" spans="1:11" x14ac:dyDescent="0.35">
      <c r="A258">
        <v>1256</v>
      </c>
      <c r="B258" s="1">
        <v>45826</v>
      </c>
      <c r="C258" t="s">
        <v>257</v>
      </c>
      <c r="D258" t="s">
        <v>978</v>
      </c>
      <c r="E258" t="s">
        <v>992</v>
      </c>
      <c r="F258" t="s">
        <v>998</v>
      </c>
      <c r="G258">
        <v>5</v>
      </c>
      <c r="H258">
        <v>2500</v>
      </c>
      <c r="I258" t="s">
        <v>1004</v>
      </c>
      <c r="J258">
        <f>Table1[[#This Row],[Quantity]]*Table1[[#This Row],[Price]]*(1-Table1[[#This Row],[Discount]])</f>
        <v>11250</v>
      </c>
      <c r="K258">
        <f>VALUE(SUBSTITUTE(Table1[[#This Row],[Discount]],"%",""))/100</f>
        <v>0.1</v>
      </c>
    </row>
    <row r="259" spans="1:11" x14ac:dyDescent="0.35">
      <c r="A259">
        <v>1257</v>
      </c>
      <c r="B259" s="1">
        <v>45516</v>
      </c>
      <c r="C259" t="s">
        <v>258</v>
      </c>
      <c r="D259" t="s">
        <v>980</v>
      </c>
      <c r="E259" t="s">
        <v>984</v>
      </c>
      <c r="F259" t="s">
        <v>998</v>
      </c>
      <c r="G259">
        <v>9</v>
      </c>
      <c r="H259">
        <v>1500</v>
      </c>
      <c r="I259" t="s">
        <v>1004</v>
      </c>
      <c r="J259">
        <f>Table1[[#This Row],[Quantity]]*Table1[[#This Row],[Price]]*(1-Table1[[#This Row],[Discount]])</f>
        <v>12150</v>
      </c>
      <c r="K259">
        <f>VALUE(SUBSTITUTE(Table1[[#This Row],[Discount]],"%",""))/100</f>
        <v>0.1</v>
      </c>
    </row>
    <row r="260" spans="1:11" x14ac:dyDescent="0.35">
      <c r="A260">
        <v>1258</v>
      </c>
      <c r="B260" s="1">
        <v>45785</v>
      </c>
      <c r="C260" t="s">
        <v>259</v>
      </c>
      <c r="D260" t="s">
        <v>980</v>
      </c>
      <c r="E260" t="s">
        <v>985</v>
      </c>
      <c r="F260" t="s">
        <v>998</v>
      </c>
      <c r="G260">
        <v>3</v>
      </c>
      <c r="H260">
        <v>300</v>
      </c>
      <c r="I260" t="s">
        <v>1002</v>
      </c>
      <c r="J260">
        <f>Table1[[#This Row],[Quantity]]*Table1[[#This Row],[Price]]*(1-Table1[[#This Row],[Discount]])</f>
        <v>720</v>
      </c>
      <c r="K260">
        <f>VALUE(SUBSTITUTE(Table1[[#This Row],[Discount]],"%",""))/100</f>
        <v>0.2</v>
      </c>
    </row>
    <row r="261" spans="1:11" x14ac:dyDescent="0.35">
      <c r="A261">
        <v>1259</v>
      </c>
      <c r="B261" s="1">
        <v>45662</v>
      </c>
      <c r="C261" t="s">
        <v>260</v>
      </c>
      <c r="D261" t="s">
        <v>979</v>
      </c>
      <c r="E261" t="s">
        <v>991</v>
      </c>
      <c r="F261" t="s">
        <v>998</v>
      </c>
      <c r="G261">
        <v>1</v>
      </c>
      <c r="H261">
        <v>250</v>
      </c>
      <c r="I261" t="s">
        <v>1001</v>
      </c>
      <c r="J261">
        <f>Table1[[#This Row],[Quantity]]*Table1[[#This Row],[Price]]*(1-Table1[[#This Row],[Discount]])</f>
        <v>250</v>
      </c>
      <c r="K261">
        <f>VALUE(SUBSTITUTE(Table1[[#This Row],[Discount]],"%",""))/100</f>
        <v>0</v>
      </c>
    </row>
    <row r="262" spans="1:11" x14ac:dyDescent="0.35">
      <c r="A262">
        <v>1260</v>
      </c>
      <c r="B262" s="1">
        <v>45643</v>
      </c>
      <c r="C262" t="s">
        <v>261</v>
      </c>
      <c r="D262" t="s">
        <v>980</v>
      </c>
      <c r="E262" t="s">
        <v>983</v>
      </c>
      <c r="F262" t="s">
        <v>997</v>
      </c>
      <c r="G262">
        <v>1</v>
      </c>
      <c r="H262">
        <v>500</v>
      </c>
      <c r="I262" t="s">
        <v>1002</v>
      </c>
      <c r="J262">
        <f>Table1[[#This Row],[Quantity]]*Table1[[#This Row],[Price]]*(1-Table1[[#This Row],[Discount]])</f>
        <v>400</v>
      </c>
      <c r="K262">
        <f>VALUE(SUBSTITUTE(Table1[[#This Row],[Discount]],"%",""))/100</f>
        <v>0.2</v>
      </c>
    </row>
    <row r="263" spans="1:11" x14ac:dyDescent="0.35">
      <c r="A263">
        <v>1261</v>
      </c>
      <c r="B263" s="1">
        <v>45600</v>
      </c>
      <c r="C263" t="s">
        <v>262</v>
      </c>
      <c r="E263" t="s">
        <v>994</v>
      </c>
      <c r="F263" t="s">
        <v>997</v>
      </c>
      <c r="G263">
        <v>8</v>
      </c>
      <c r="H263">
        <v>100</v>
      </c>
      <c r="I263" t="s">
        <v>1001</v>
      </c>
      <c r="J263">
        <f>Table1[[#This Row],[Quantity]]*Table1[[#This Row],[Price]]*(1-Table1[[#This Row],[Discount]])</f>
        <v>800</v>
      </c>
      <c r="K263">
        <f>VALUE(SUBSTITUTE(Table1[[#This Row],[Discount]],"%",""))/100</f>
        <v>0</v>
      </c>
    </row>
    <row r="264" spans="1:11" x14ac:dyDescent="0.35">
      <c r="A264">
        <v>1262</v>
      </c>
      <c r="B264" s="1">
        <v>45615</v>
      </c>
      <c r="C264" t="s">
        <v>263</v>
      </c>
      <c r="D264" t="s">
        <v>979</v>
      </c>
      <c r="E264" t="s">
        <v>987</v>
      </c>
      <c r="F264" t="s">
        <v>999</v>
      </c>
      <c r="G264">
        <v>9</v>
      </c>
      <c r="H264">
        <v>2500</v>
      </c>
      <c r="I264" t="s">
        <v>1000</v>
      </c>
      <c r="J264">
        <f>Table1[[#This Row],[Quantity]]*Table1[[#This Row],[Price]]*(1-Table1[[#This Row],[Discount]])</f>
        <v>21375</v>
      </c>
      <c r="K264">
        <f>VALUE(SUBSTITUTE(Table1[[#This Row],[Discount]],"%",""))/100</f>
        <v>0.05</v>
      </c>
    </row>
    <row r="265" spans="1:11" x14ac:dyDescent="0.35">
      <c r="A265">
        <v>1263</v>
      </c>
      <c r="B265" s="1">
        <v>45530</v>
      </c>
      <c r="C265" t="s">
        <v>264</v>
      </c>
      <c r="D265" t="s">
        <v>980</v>
      </c>
      <c r="E265" t="s">
        <v>995</v>
      </c>
      <c r="F265" t="s">
        <v>997</v>
      </c>
      <c r="G265">
        <v>5</v>
      </c>
      <c r="H265">
        <v>1500</v>
      </c>
      <c r="I265" t="s">
        <v>1004</v>
      </c>
      <c r="J265">
        <f>Table1[[#This Row],[Quantity]]*Table1[[#This Row],[Price]]*(1-Table1[[#This Row],[Discount]])</f>
        <v>6750</v>
      </c>
      <c r="K265">
        <f>VALUE(SUBSTITUTE(Table1[[#This Row],[Discount]],"%",""))/100</f>
        <v>0.1</v>
      </c>
    </row>
    <row r="266" spans="1:11" x14ac:dyDescent="0.35">
      <c r="A266">
        <v>1264</v>
      </c>
      <c r="B266" s="1">
        <v>45782</v>
      </c>
      <c r="C266" t="s">
        <v>265</v>
      </c>
      <c r="D266" t="s">
        <v>979</v>
      </c>
      <c r="E266" t="s">
        <v>990</v>
      </c>
      <c r="F266" t="s">
        <v>998</v>
      </c>
      <c r="G266">
        <v>5</v>
      </c>
      <c r="H266">
        <v>250</v>
      </c>
      <c r="I266" t="s">
        <v>1001</v>
      </c>
      <c r="J266">
        <f>Table1[[#This Row],[Quantity]]*Table1[[#This Row],[Price]]*(1-Table1[[#This Row],[Discount]])</f>
        <v>1250</v>
      </c>
      <c r="K266">
        <f>VALUE(SUBSTITUTE(Table1[[#This Row],[Discount]],"%",""))/100</f>
        <v>0</v>
      </c>
    </row>
    <row r="267" spans="1:11" x14ac:dyDescent="0.35">
      <c r="A267">
        <v>1265</v>
      </c>
      <c r="B267" s="1">
        <v>45717</v>
      </c>
      <c r="C267" t="s">
        <v>266</v>
      </c>
      <c r="D267" t="s">
        <v>980</v>
      </c>
      <c r="E267" t="s">
        <v>982</v>
      </c>
      <c r="F267" t="s">
        <v>997</v>
      </c>
      <c r="G267">
        <v>3</v>
      </c>
      <c r="H267">
        <v>250</v>
      </c>
      <c r="I267" t="s">
        <v>1003</v>
      </c>
      <c r="J267">
        <f>Table1[[#This Row],[Quantity]]*Table1[[#This Row],[Price]]*(1-Table1[[#This Row],[Discount]])</f>
        <v>637.5</v>
      </c>
      <c r="K267">
        <f>VALUE(SUBSTITUTE(Table1[[#This Row],[Discount]],"%",""))/100</f>
        <v>0.15</v>
      </c>
    </row>
    <row r="268" spans="1:11" x14ac:dyDescent="0.35">
      <c r="A268">
        <v>1266</v>
      </c>
      <c r="B268" s="1">
        <v>45709</v>
      </c>
      <c r="C268" t="s">
        <v>267</v>
      </c>
      <c r="D268" t="s">
        <v>980</v>
      </c>
      <c r="E268" t="s">
        <v>991</v>
      </c>
      <c r="F268" t="s">
        <v>998</v>
      </c>
      <c r="G268">
        <v>1</v>
      </c>
      <c r="H268">
        <v>500</v>
      </c>
      <c r="I268" t="s">
        <v>1000</v>
      </c>
      <c r="J268">
        <f>Table1[[#This Row],[Quantity]]*Table1[[#This Row],[Price]]*(1-Table1[[#This Row],[Discount]])</f>
        <v>475</v>
      </c>
      <c r="K268">
        <f>VALUE(SUBSTITUTE(Table1[[#This Row],[Discount]],"%",""))/100</f>
        <v>0.05</v>
      </c>
    </row>
    <row r="269" spans="1:11" x14ac:dyDescent="0.35">
      <c r="A269">
        <v>1267</v>
      </c>
      <c r="B269" s="1">
        <v>45602</v>
      </c>
      <c r="C269" t="s">
        <v>268</v>
      </c>
      <c r="E269" t="s">
        <v>989</v>
      </c>
      <c r="F269" t="s">
        <v>999</v>
      </c>
      <c r="G269">
        <v>10</v>
      </c>
      <c r="H269">
        <v>100</v>
      </c>
      <c r="I269" t="s">
        <v>1000</v>
      </c>
      <c r="J269">
        <f>Table1[[#This Row],[Quantity]]*Table1[[#This Row],[Price]]*(1-Table1[[#This Row],[Discount]])</f>
        <v>950</v>
      </c>
      <c r="K269">
        <f>VALUE(SUBSTITUTE(Table1[[#This Row],[Discount]],"%",""))/100</f>
        <v>0.05</v>
      </c>
    </row>
    <row r="270" spans="1:11" x14ac:dyDescent="0.35">
      <c r="A270">
        <v>1268</v>
      </c>
      <c r="B270" s="1">
        <v>45543</v>
      </c>
      <c r="C270" t="s">
        <v>269</v>
      </c>
      <c r="D270" t="s">
        <v>978</v>
      </c>
      <c r="E270" t="s">
        <v>994</v>
      </c>
      <c r="F270" t="s">
        <v>997</v>
      </c>
      <c r="G270">
        <v>2</v>
      </c>
      <c r="H270">
        <v>1000</v>
      </c>
      <c r="I270" t="s">
        <v>1000</v>
      </c>
      <c r="J270">
        <f>Table1[[#This Row],[Quantity]]*Table1[[#This Row],[Price]]*(1-Table1[[#This Row],[Discount]])</f>
        <v>1900</v>
      </c>
      <c r="K270">
        <f>VALUE(SUBSTITUTE(Table1[[#This Row],[Discount]],"%",""))/100</f>
        <v>0.05</v>
      </c>
    </row>
    <row r="271" spans="1:11" x14ac:dyDescent="0.35">
      <c r="A271">
        <v>1269</v>
      </c>
      <c r="B271" s="1">
        <v>45719</v>
      </c>
      <c r="C271" t="s">
        <v>270</v>
      </c>
      <c r="D271" t="s">
        <v>981</v>
      </c>
      <c r="E271" t="s">
        <v>986</v>
      </c>
      <c r="F271" t="s">
        <v>997</v>
      </c>
      <c r="G271">
        <v>7</v>
      </c>
      <c r="H271">
        <v>300</v>
      </c>
      <c r="I271" t="s">
        <v>1001</v>
      </c>
      <c r="J271">
        <f>Table1[[#This Row],[Quantity]]*Table1[[#This Row],[Price]]*(1-Table1[[#This Row],[Discount]])</f>
        <v>2100</v>
      </c>
      <c r="K271">
        <f>VALUE(SUBSTITUTE(Table1[[#This Row],[Discount]],"%",""))/100</f>
        <v>0</v>
      </c>
    </row>
    <row r="272" spans="1:11" x14ac:dyDescent="0.35">
      <c r="A272">
        <v>1270</v>
      </c>
      <c r="B272" s="1">
        <v>45747</v>
      </c>
      <c r="C272" t="s">
        <v>271</v>
      </c>
      <c r="D272" t="s">
        <v>979</v>
      </c>
      <c r="E272" t="s">
        <v>989</v>
      </c>
      <c r="F272" t="s">
        <v>999</v>
      </c>
      <c r="G272">
        <v>10</v>
      </c>
      <c r="H272">
        <v>2500</v>
      </c>
      <c r="I272" t="s">
        <v>1004</v>
      </c>
      <c r="J272">
        <f>Table1[[#This Row],[Quantity]]*Table1[[#This Row],[Price]]*(1-Table1[[#This Row],[Discount]])</f>
        <v>22500</v>
      </c>
      <c r="K272">
        <f>VALUE(SUBSTITUTE(Table1[[#This Row],[Discount]],"%",""))/100</f>
        <v>0.1</v>
      </c>
    </row>
    <row r="273" spans="1:11" x14ac:dyDescent="0.35">
      <c r="A273">
        <v>1271</v>
      </c>
      <c r="B273" s="1">
        <v>45659</v>
      </c>
      <c r="C273" t="s">
        <v>272</v>
      </c>
      <c r="D273" t="s">
        <v>978</v>
      </c>
      <c r="E273" t="s">
        <v>985</v>
      </c>
      <c r="F273" t="s">
        <v>998</v>
      </c>
      <c r="G273">
        <v>9</v>
      </c>
      <c r="H273">
        <v>2500</v>
      </c>
      <c r="I273" t="s">
        <v>1003</v>
      </c>
      <c r="J273">
        <f>Table1[[#This Row],[Quantity]]*Table1[[#This Row],[Price]]*(1-Table1[[#This Row],[Discount]])</f>
        <v>19125</v>
      </c>
      <c r="K273">
        <f>VALUE(SUBSTITUTE(Table1[[#This Row],[Discount]],"%",""))/100</f>
        <v>0.15</v>
      </c>
    </row>
    <row r="274" spans="1:11" x14ac:dyDescent="0.35">
      <c r="A274">
        <v>1272</v>
      </c>
      <c r="B274" s="1">
        <v>45692</v>
      </c>
      <c r="C274" t="s">
        <v>273</v>
      </c>
      <c r="D274" t="s">
        <v>981</v>
      </c>
      <c r="E274" t="s">
        <v>986</v>
      </c>
      <c r="F274" t="s">
        <v>997</v>
      </c>
      <c r="G274">
        <v>4</v>
      </c>
      <c r="H274">
        <v>250</v>
      </c>
      <c r="I274" t="s">
        <v>1001</v>
      </c>
      <c r="J274">
        <f>Table1[[#This Row],[Quantity]]*Table1[[#This Row],[Price]]*(1-Table1[[#This Row],[Discount]])</f>
        <v>1000</v>
      </c>
      <c r="K274">
        <f>VALUE(SUBSTITUTE(Table1[[#This Row],[Discount]],"%",""))/100</f>
        <v>0</v>
      </c>
    </row>
    <row r="275" spans="1:11" x14ac:dyDescent="0.35">
      <c r="A275">
        <v>1273</v>
      </c>
      <c r="B275" s="1">
        <v>45651</v>
      </c>
      <c r="C275" t="s">
        <v>274</v>
      </c>
      <c r="E275" t="s">
        <v>994</v>
      </c>
      <c r="F275" t="s">
        <v>997</v>
      </c>
      <c r="G275">
        <v>6</v>
      </c>
      <c r="H275">
        <v>1500</v>
      </c>
      <c r="I275" t="s">
        <v>1001</v>
      </c>
      <c r="J275">
        <f>Table1[[#This Row],[Quantity]]*Table1[[#This Row],[Price]]*(1-Table1[[#This Row],[Discount]])</f>
        <v>9000</v>
      </c>
      <c r="K275">
        <f>VALUE(SUBSTITUTE(Table1[[#This Row],[Discount]],"%",""))/100</f>
        <v>0</v>
      </c>
    </row>
    <row r="276" spans="1:11" x14ac:dyDescent="0.35">
      <c r="A276">
        <v>1274</v>
      </c>
      <c r="B276" s="1">
        <v>45710</v>
      </c>
      <c r="C276" t="s">
        <v>275</v>
      </c>
      <c r="D276" t="s">
        <v>980</v>
      </c>
      <c r="E276" t="s">
        <v>987</v>
      </c>
      <c r="F276" t="s">
        <v>999</v>
      </c>
      <c r="G276">
        <v>3</v>
      </c>
      <c r="H276">
        <v>250</v>
      </c>
      <c r="I276" t="s">
        <v>1000</v>
      </c>
      <c r="J276">
        <f>Table1[[#This Row],[Quantity]]*Table1[[#This Row],[Price]]*(1-Table1[[#This Row],[Discount]])</f>
        <v>712.5</v>
      </c>
      <c r="K276">
        <f>VALUE(SUBSTITUTE(Table1[[#This Row],[Discount]],"%",""))/100</f>
        <v>0.05</v>
      </c>
    </row>
    <row r="277" spans="1:11" x14ac:dyDescent="0.35">
      <c r="A277">
        <v>1275</v>
      </c>
      <c r="B277" s="1">
        <v>45662</v>
      </c>
      <c r="C277" t="s">
        <v>1005</v>
      </c>
      <c r="D277" t="s">
        <v>981</v>
      </c>
      <c r="E277" t="s">
        <v>992</v>
      </c>
      <c r="F277" t="s">
        <v>998</v>
      </c>
      <c r="G277">
        <v>6</v>
      </c>
      <c r="H277">
        <v>250</v>
      </c>
      <c r="I277" t="s">
        <v>1002</v>
      </c>
      <c r="J277">
        <f>Table1[[#This Row],[Quantity]]*Table1[[#This Row],[Price]]*(1-Table1[[#This Row],[Discount]])</f>
        <v>1200</v>
      </c>
      <c r="K277">
        <f>VALUE(SUBSTITUTE(Table1[[#This Row],[Discount]],"%",""))/100</f>
        <v>0.2</v>
      </c>
    </row>
    <row r="278" spans="1:11" x14ac:dyDescent="0.35">
      <c r="A278">
        <v>1276</v>
      </c>
      <c r="B278" s="1">
        <v>45865</v>
      </c>
      <c r="C278" t="s">
        <v>276</v>
      </c>
      <c r="D278" t="s">
        <v>978</v>
      </c>
      <c r="E278" t="s">
        <v>991</v>
      </c>
      <c r="F278" t="s">
        <v>998</v>
      </c>
      <c r="G278">
        <v>4</v>
      </c>
      <c r="H278">
        <v>300</v>
      </c>
      <c r="I278" t="s">
        <v>1003</v>
      </c>
      <c r="J278">
        <f>Table1[[#This Row],[Quantity]]*Table1[[#This Row],[Price]]*(1-Table1[[#This Row],[Discount]])</f>
        <v>1020</v>
      </c>
      <c r="K278">
        <f>VALUE(SUBSTITUTE(Table1[[#This Row],[Discount]],"%",""))/100</f>
        <v>0.15</v>
      </c>
    </row>
    <row r="279" spans="1:11" x14ac:dyDescent="0.35">
      <c r="A279">
        <v>1277</v>
      </c>
      <c r="B279" s="1">
        <v>45673</v>
      </c>
      <c r="C279" t="s">
        <v>277</v>
      </c>
      <c r="D279" t="s">
        <v>981</v>
      </c>
      <c r="E279" t="s">
        <v>990</v>
      </c>
      <c r="F279" t="s">
        <v>998</v>
      </c>
      <c r="G279">
        <v>7</v>
      </c>
      <c r="H279">
        <v>1000</v>
      </c>
      <c r="I279" t="s">
        <v>1003</v>
      </c>
      <c r="J279">
        <f>Table1[[#This Row],[Quantity]]*Table1[[#This Row],[Price]]*(1-Table1[[#This Row],[Discount]])</f>
        <v>5950</v>
      </c>
      <c r="K279">
        <f>VALUE(SUBSTITUTE(Table1[[#This Row],[Discount]],"%",""))/100</f>
        <v>0.15</v>
      </c>
    </row>
    <row r="280" spans="1:11" x14ac:dyDescent="0.35">
      <c r="A280">
        <v>1278</v>
      </c>
      <c r="B280" s="1">
        <v>45767</v>
      </c>
      <c r="C280" t="s">
        <v>1005</v>
      </c>
      <c r="D280" t="s">
        <v>979</v>
      </c>
      <c r="E280" t="s">
        <v>984</v>
      </c>
      <c r="F280" t="s">
        <v>998</v>
      </c>
      <c r="G280">
        <v>10</v>
      </c>
      <c r="H280">
        <v>500</v>
      </c>
      <c r="I280" t="s">
        <v>1003</v>
      </c>
      <c r="J280">
        <f>Table1[[#This Row],[Quantity]]*Table1[[#This Row],[Price]]*(1-Table1[[#This Row],[Discount]])</f>
        <v>4250</v>
      </c>
      <c r="K280">
        <f>VALUE(SUBSTITUTE(Table1[[#This Row],[Discount]],"%",""))/100</f>
        <v>0.15</v>
      </c>
    </row>
    <row r="281" spans="1:11" x14ac:dyDescent="0.35">
      <c r="A281">
        <v>1279</v>
      </c>
      <c r="B281" s="1">
        <v>45524</v>
      </c>
      <c r="C281" t="s">
        <v>278</v>
      </c>
      <c r="D281" t="s">
        <v>980</v>
      </c>
      <c r="E281" t="s">
        <v>994</v>
      </c>
      <c r="F281" t="s">
        <v>997</v>
      </c>
      <c r="G281">
        <v>6</v>
      </c>
      <c r="H281">
        <v>4500</v>
      </c>
      <c r="I281" t="s">
        <v>1004</v>
      </c>
      <c r="J281">
        <f>Table1[[#This Row],[Quantity]]*Table1[[#This Row],[Price]]*(1-Table1[[#This Row],[Discount]])</f>
        <v>24300</v>
      </c>
      <c r="K281">
        <f>VALUE(SUBSTITUTE(Table1[[#This Row],[Discount]],"%",""))/100</f>
        <v>0.1</v>
      </c>
    </row>
    <row r="282" spans="1:11" x14ac:dyDescent="0.35">
      <c r="A282">
        <v>1280</v>
      </c>
      <c r="B282" s="1">
        <v>45830</v>
      </c>
      <c r="C282" t="s">
        <v>279</v>
      </c>
      <c r="D282" t="s">
        <v>981</v>
      </c>
      <c r="E282" t="s">
        <v>985</v>
      </c>
      <c r="F282" t="s">
        <v>998</v>
      </c>
      <c r="G282">
        <v>6</v>
      </c>
      <c r="H282">
        <v>500</v>
      </c>
      <c r="I282" t="s">
        <v>1003</v>
      </c>
      <c r="J282">
        <f>Table1[[#This Row],[Quantity]]*Table1[[#This Row],[Price]]*(1-Table1[[#This Row],[Discount]])</f>
        <v>2550</v>
      </c>
      <c r="K282">
        <f>VALUE(SUBSTITUTE(Table1[[#This Row],[Discount]],"%",""))/100</f>
        <v>0.15</v>
      </c>
    </row>
    <row r="283" spans="1:11" x14ac:dyDescent="0.35">
      <c r="A283">
        <v>1281</v>
      </c>
      <c r="B283" s="1">
        <v>45749</v>
      </c>
      <c r="C283" t="s">
        <v>280</v>
      </c>
      <c r="D283" t="s">
        <v>980</v>
      </c>
      <c r="E283" t="s">
        <v>994</v>
      </c>
      <c r="F283" t="s">
        <v>997</v>
      </c>
      <c r="G283">
        <v>10</v>
      </c>
      <c r="H283">
        <v>500</v>
      </c>
      <c r="I283" t="s">
        <v>1004</v>
      </c>
      <c r="J283">
        <f>Table1[[#This Row],[Quantity]]*Table1[[#This Row],[Price]]*(1-Table1[[#This Row],[Discount]])</f>
        <v>4500</v>
      </c>
      <c r="K283">
        <f>VALUE(SUBSTITUTE(Table1[[#This Row],[Discount]],"%",""))/100</f>
        <v>0.1</v>
      </c>
    </row>
    <row r="284" spans="1:11" x14ac:dyDescent="0.35">
      <c r="A284">
        <v>1282</v>
      </c>
      <c r="B284" s="1">
        <v>45595</v>
      </c>
      <c r="C284" t="s">
        <v>281</v>
      </c>
      <c r="D284" t="s">
        <v>979</v>
      </c>
      <c r="E284" t="s">
        <v>983</v>
      </c>
      <c r="F284" t="s">
        <v>997</v>
      </c>
      <c r="G284">
        <v>10</v>
      </c>
      <c r="H284">
        <v>300</v>
      </c>
      <c r="I284" t="s">
        <v>1002</v>
      </c>
      <c r="J284">
        <f>Table1[[#This Row],[Quantity]]*Table1[[#This Row],[Price]]*(1-Table1[[#This Row],[Discount]])</f>
        <v>2400</v>
      </c>
      <c r="K284">
        <f>VALUE(SUBSTITUTE(Table1[[#This Row],[Discount]],"%",""))/100</f>
        <v>0.2</v>
      </c>
    </row>
    <row r="285" spans="1:11" x14ac:dyDescent="0.35">
      <c r="A285">
        <v>1283</v>
      </c>
      <c r="B285" s="1">
        <v>45716</v>
      </c>
      <c r="C285" t="s">
        <v>282</v>
      </c>
      <c r="D285" t="s">
        <v>978</v>
      </c>
      <c r="E285" t="s">
        <v>993</v>
      </c>
      <c r="F285" t="s">
        <v>999</v>
      </c>
      <c r="G285">
        <v>2</v>
      </c>
      <c r="H285">
        <v>2500</v>
      </c>
      <c r="I285" t="s">
        <v>1003</v>
      </c>
      <c r="J285">
        <f>Table1[[#This Row],[Quantity]]*Table1[[#This Row],[Price]]*(1-Table1[[#This Row],[Discount]])</f>
        <v>4250</v>
      </c>
      <c r="K285">
        <f>VALUE(SUBSTITUTE(Table1[[#This Row],[Discount]],"%",""))/100</f>
        <v>0.15</v>
      </c>
    </row>
    <row r="286" spans="1:11" x14ac:dyDescent="0.35">
      <c r="A286">
        <v>1284</v>
      </c>
      <c r="B286" s="1">
        <v>45628</v>
      </c>
      <c r="C286" t="s">
        <v>283</v>
      </c>
      <c r="D286" t="s">
        <v>980</v>
      </c>
      <c r="E286" t="s">
        <v>994</v>
      </c>
      <c r="F286" t="s">
        <v>997</v>
      </c>
      <c r="G286">
        <v>7</v>
      </c>
      <c r="H286">
        <v>250</v>
      </c>
      <c r="I286" t="s">
        <v>1003</v>
      </c>
      <c r="J286">
        <f>Table1[[#This Row],[Quantity]]*Table1[[#This Row],[Price]]*(1-Table1[[#This Row],[Discount]])</f>
        <v>1487.5</v>
      </c>
      <c r="K286">
        <f>VALUE(SUBSTITUTE(Table1[[#This Row],[Discount]],"%",""))/100</f>
        <v>0.15</v>
      </c>
    </row>
    <row r="287" spans="1:11" x14ac:dyDescent="0.35">
      <c r="A287">
        <v>1285</v>
      </c>
      <c r="B287" s="1">
        <v>45608</v>
      </c>
      <c r="C287" t="s">
        <v>284</v>
      </c>
      <c r="D287" t="s">
        <v>979</v>
      </c>
      <c r="E287" t="s">
        <v>994</v>
      </c>
      <c r="F287" t="s">
        <v>997</v>
      </c>
      <c r="G287">
        <v>9</v>
      </c>
      <c r="H287">
        <v>100</v>
      </c>
      <c r="I287" t="s">
        <v>1004</v>
      </c>
      <c r="J287">
        <f>Table1[[#This Row],[Quantity]]*Table1[[#This Row],[Price]]*(1-Table1[[#This Row],[Discount]])</f>
        <v>810</v>
      </c>
      <c r="K287">
        <f>VALUE(SUBSTITUTE(Table1[[#This Row],[Discount]],"%",""))/100</f>
        <v>0.1</v>
      </c>
    </row>
    <row r="288" spans="1:11" x14ac:dyDescent="0.35">
      <c r="A288">
        <v>1286</v>
      </c>
      <c r="B288" s="1">
        <v>45598</v>
      </c>
      <c r="C288" t="s">
        <v>285</v>
      </c>
      <c r="D288" t="s">
        <v>980</v>
      </c>
      <c r="E288" t="s">
        <v>991</v>
      </c>
      <c r="F288" t="s">
        <v>998</v>
      </c>
      <c r="G288">
        <v>1</v>
      </c>
      <c r="H288">
        <v>2500</v>
      </c>
      <c r="I288" t="s">
        <v>1004</v>
      </c>
      <c r="J288">
        <f>Table1[[#This Row],[Quantity]]*Table1[[#This Row],[Price]]*(1-Table1[[#This Row],[Discount]])</f>
        <v>2250</v>
      </c>
      <c r="K288">
        <f>VALUE(SUBSTITUTE(Table1[[#This Row],[Discount]],"%",""))/100</f>
        <v>0.1</v>
      </c>
    </row>
    <row r="289" spans="1:11" x14ac:dyDescent="0.35">
      <c r="A289">
        <v>1287</v>
      </c>
      <c r="B289" s="1">
        <v>45552</v>
      </c>
      <c r="C289" t="s">
        <v>286</v>
      </c>
      <c r="D289" t="s">
        <v>981</v>
      </c>
      <c r="E289" t="s">
        <v>995</v>
      </c>
      <c r="F289" t="s">
        <v>997</v>
      </c>
      <c r="G289">
        <v>9</v>
      </c>
      <c r="H289">
        <v>500</v>
      </c>
      <c r="I289" t="s">
        <v>1003</v>
      </c>
      <c r="J289">
        <f>Table1[[#This Row],[Quantity]]*Table1[[#This Row],[Price]]*(1-Table1[[#This Row],[Discount]])</f>
        <v>3825</v>
      </c>
      <c r="K289">
        <f>VALUE(SUBSTITUTE(Table1[[#This Row],[Discount]],"%",""))/100</f>
        <v>0.15</v>
      </c>
    </row>
    <row r="290" spans="1:11" x14ac:dyDescent="0.35">
      <c r="A290">
        <v>1288</v>
      </c>
      <c r="B290" s="1">
        <v>45626</v>
      </c>
      <c r="C290" t="s">
        <v>287</v>
      </c>
      <c r="D290" t="s">
        <v>979</v>
      </c>
      <c r="E290" t="s">
        <v>983</v>
      </c>
      <c r="F290" t="s">
        <v>997</v>
      </c>
      <c r="G290">
        <v>6</v>
      </c>
      <c r="H290">
        <v>100</v>
      </c>
      <c r="I290" t="s">
        <v>1003</v>
      </c>
      <c r="J290">
        <f>Table1[[#This Row],[Quantity]]*Table1[[#This Row],[Price]]*(1-Table1[[#This Row],[Discount]])</f>
        <v>510</v>
      </c>
      <c r="K290">
        <f>VALUE(SUBSTITUTE(Table1[[#This Row],[Discount]],"%",""))/100</f>
        <v>0.15</v>
      </c>
    </row>
    <row r="291" spans="1:11" x14ac:dyDescent="0.35">
      <c r="A291">
        <v>1289</v>
      </c>
      <c r="B291" s="1">
        <v>45664</v>
      </c>
      <c r="C291" t="s">
        <v>288</v>
      </c>
      <c r="D291" t="s">
        <v>980</v>
      </c>
      <c r="E291" t="s">
        <v>983</v>
      </c>
      <c r="F291" t="s">
        <v>997</v>
      </c>
      <c r="G291">
        <v>6</v>
      </c>
      <c r="H291">
        <v>1000</v>
      </c>
      <c r="I291" t="s">
        <v>1004</v>
      </c>
      <c r="J291">
        <f>Table1[[#This Row],[Quantity]]*Table1[[#This Row],[Price]]*(1-Table1[[#This Row],[Discount]])</f>
        <v>5400</v>
      </c>
      <c r="K291">
        <f>VALUE(SUBSTITUTE(Table1[[#This Row],[Discount]],"%",""))/100</f>
        <v>0.1</v>
      </c>
    </row>
    <row r="292" spans="1:11" x14ac:dyDescent="0.35">
      <c r="A292">
        <v>1290</v>
      </c>
      <c r="B292" s="1">
        <v>45803</v>
      </c>
      <c r="C292" t="s">
        <v>289</v>
      </c>
      <c r="D292" t="s">
        <v>981</v>
      </c>
      <c r="E292" t="s">
        <v>984</v>
      </c>
      <c r="F292" t="s">
        <v>998</v>
      </c>
      <c r="G292">
        <v>8</v>
      </c>
      <c r="H292">
        <v>1500</v>
      </c>
      <c r="I292" t="s">
        <v>1001</v>
      </c>
      <c r="J292">
        <f>Table1[[#This Row],[Quantity]]*Table1[[#This Row],[Price]]*(1-Table1[[#This Row],[Discount]])</f>
        <v>12000</v>
      </c>
      <c r="K292">
        <f>VALUE(SUBSTITUTE(Table1[[#This Row],[Discount]],"%",""))/100</f>
        <v>0</v>
      </c>
    </row>
    <row r="293" spans="1:11" x14ac:dyDescent="0.35">
      <c r="A293">
        <v>1291</v>
      </c>
      <c r="B293" s="1">
        <v>45587</v>
      </c>
      <c r="C293" t="s">
        <v>290</v>
      </c>
      <c r="D293" t="s">
        <v>978</v>
      </c>
      <c r="E293" t="s">
        <v>987</v>
      </c>
      <c r="F293" t="s">
        <v>999</v>
      </c>
      <c r="G293">
        <v>3</v>
      </c>
      <c r="H293">
        <v>500</v>
      </c>
      <c r="I293" t="s">
        <v>1002</v>
      </c>
      <c r="J293">
        <f>Table1[[#This Row],[Quantity]]*Table1[[#This Row],[Price]]*(1-Table1[[#This Row],[Discount]])</f>
        <v>1200</v>
      </c>
      <c r="K293">
        <f>VALUE(SUBSTITUTE(Table1[[#This Row],[Discount]],"%",""))/100</f>
        <v>0.2</v>
      </c>
    </row>
    <row r="294" spans="1:11" x14ac:dyDescent="0.35">
      <c r="A294">
        <v>1292</v>
      </c>
      <c r="B294" s="1">
        <v>45837</v>
      </c>
      <c r="C294" t="s">
        <v>291</v>
      </c>
      <c r="D294" t="s">
        <v>980</v>
      </c>
      <c r="E294" t="s">
        <v>988</v>
      </c>
      <c r="F294" t="s">
        <v>999</v>
      </c>
      <c r="G294">
        <v>7</v>
      </c>
      <c r="H294">
        <v>300</v>
      </c>
      <c r="I294" t="s">
        <v>1000</v>
      </c>
      <c r="J294">
        <f>Table1[[#This Row],[Quantity]]*Table1[[#This Row],[Price]]*(1-Table1[[#This Row],[Discount]])</f>
        <v>1995</v>
      </c>
      <c r="K294">
        <f>VALUE(SUBSTITUTE(Table1[[#This Row],[Discount]],"%",""))/100</f>
        <v>0.05</v>
      </c>
    </row>
    <row r="295" spans="1:11" x14ac:dyDescent="0.35">
      <c r="A295">
        <v>1293</v>
      </c>
      <c r="B295" s="1">
        <v>45513</v>
      </c>
      <c r="C295" t="s">
        <v>292</v>
      </c>
      <c r="D295" t="s">
        <v>978</v>
      </c>
      <c r="E295" t="s">
        <v>989</v>
      </c>
      <c r="F295" t="s">
        <v>999</v>
      </c>
      <c r="G295">
        <v>7</v>
      </c>
      <c r="H295">
        <v>2500</v>
      </c>
      <c r="I295" t="s">
        <v>1001</v>
      </c>
      <c r="J295">
        <f>Table1[[#This Row],[Quantity]]*Table1[[#This Row],[Price]]*(1-Table1[[#This Row],[Discount]])</f>
        <v>17500</v>
      </c>
      <c r="K295">
        <f>VALUE(SUBSTITUTE(Table1[[#This Row],[Discount]],"%",""))/100</f>
        <v>0</v>
      </c>
    </row>
    <row r="296" spans="1:11" x14ac:dyDescent="0.35">
      <c r="A296">
        <v>1294</v>
      </c>
      <c r="B296" s="1">
        <v>45767</v>
      </c>
      <c r="C296" t="s">
        <v>293</v>
      </c>
      <c r="D296" t="s">
        <v>981</v>
      </c>
      <c r="E296" t="s">
        <v>991</v>
      </c>
      <c r="F296" t="s">
        <v>998</v>
      </c>
      <c r="G296">
        <v>2</v>
      </c>
      <c r="H296">
        <v>300</v>
      </c>
      <c r="I296" t="s">
        <v>1004</v>
      </c>
      <c r="J296">
        <f>Table1[[#This Row],[Quantity]]*Table1[[#This Row],[Price]]*(1-Table1[[#This Row],[Discount]])</f>
        <v>540</v>
      </c>
      <c r="K296">
        <f>VALUE(SUBSTITUTE(Table1[[#This Row],[Discount]],"%",""))/100</f>
        <v>0.1</v>
      </c>
    </row>
    <row r="297" spans="1:11" x14ac:dyDescent="0.35">
      <c r="A297">
        <v>1295</v>
      </c>
      <c r="B297" s="1">
        <v>45850</v>
      </c>
      <c r="C297" t="s">
        <v>294</v>
      </c>
      <c r="D297" t="s">
        <v>980</v>
      </c>
      <c r="E297" t="s">
        <v>989</v>
      </c>
      <c r="F297" t="s">
        <v>999</v>
      </c>
      <c r="G297">
        <v>6</v>
      </c>
      <c r="H297">
        <v>2500</v>
      </c>
      <c r="I297" t="s">
        <v>1002</v>
      </c>
      <c r="J297">
        <f>Table1[[#This Row],[Quantity]]*Table1[[#This Row],[Price]]*(1-Table1[[#This Row],[Discount]])</f>
        <v>12000</v>
      </c>
      <c r="K297">
        <f>VALUE(SUBSTITUTE(Table1[[#This Row],[Discount]],"%",""))/100</f>
        <v>0.2</v>
      </c>
    </row>
    <row r="298" spans="1:11" x14ac:dyDescent="0.35">
      <c r="A298">
        <v>1296</v>
      </c>
      <c r="B298" s="1">
        <v>45607</v>
      </c>
      <c r="C298" t="s">
        <v>295</v>
      </c>
      <c r="D298" t="s">
        <v>981</v>
      </c>
      <c r="E298" t="s">
        <v>983</v>
      </c>
      <c r="F298" t="s">
        <v>997</v>
      </c>
      <c r="G298">
        <v>5</v>
      </c>
      <c r="H298">
        <v>250</v>
      </c>
      <c r="I298" t="s">
        <v>1000</v>
      </c>
      <c r="J298">
        <f>Table1[[#This Row],[Quantity]]*Table1[[#This Row],[Price]]*(1-Table1[[#This Row],[Discount]])</f>
        <v>1187.5</v>
      </c>
      <c r="K298">
        <f>VALUE(SUBSTITUTE(Table1[[#This Row],[Discount]],"%",""))/100</f>
        <v>0.05</v>
      </c>
    </row>
    <row r="299" spans="1:11" x14ac:dyDescent="0.35">
      <c r="A299">
        <v>1297</v>
      </c>
      <c r="B299" s="1">
        <v>45648</v>
      </c>
      <c r="C299" t="s">
        <v>296</v>
      </c>
      <c r="D299" t="s">
        <v>978</v>
      </c>
      <c r="E299" t="s">
        <v>983</v>
      </c>
      <c r="F299" t="s">
        <v>997</v>
      </c>
      <c r="G299">
        <v>9</v>
      </c>
      <c r="H299">
        <v>2500</v>
      </c>
      <c r="I299" t="s">
        <v>1003</v>
      </c>
      <c r="J299">
        <f>Table1[[#This Row],[Quantity]]*Table1[[#This Row],[Price]]*(1-Table1[[#This Row],[Discount]])</f>
        <v>19125</v>
      </c>
      <c r="K299">
        <f>VALUE(SUBSTITUTE(Table1[[#This Row],[Discount]],"%",""))/100</f>
        <v>0.15</v>
      </c>
    </row>
    <row r="300" spans="1:11" x14ac:dyDescent="0.35">
      <c r="A300">
        <v>1298</v>
      </c>
      <c r="B300" s="1">
        <v>45539</v>
      </c>
      <c r="C300" t="s">
        <v>297</v>
      </c>
      <c r="D300" t="s">
        <v>981</v>
      </c>
      <c r="E300" t="s">
        <v>983</v>
      </c>
      <c r="F300" t="s">
        <v>997</v>
      </c>
      <c r="G300">
        <v>9</v>
      </c>
      <c r="H300">
        <v>300</v>
      </c>
      <c r="I300" t="s">
        <v>1003</v>
      </c>
      <c r="J300">
        <f>Table1[[#This Row],[Quantity]]*Table1[[#This Row],[Price]]*(1-Table1[[#This Row],[Discount]])</f>
        <v>2295</v>
      </c>
      <c r="K300">
        <f>VALUE(SUBSTITUTE(Table1[[#This Row],[Discount]],"%",""))/100</f>
        <v>0.15</v>
      </c>
    </row>
    <row r="301" spans="1:11" x14ac:dyDescent="0.35">
      <c r="A301">
        <v>1299</v>
      </c>
      <c r="B301" s="1">
        <v>45841</v>
      </c>
      <c r="C301" t="s">
        <v>298</v>
      </c>
      <c r="D301" t="s">
        <v>978</v>
      </c>
      <c r="E301" t="s">
        <v>985</v>
      </c>
      <c r="F301" t="s">
        <v>998</v>
      </c>
      <c r="G301">
        <v>1</v>
      </c>
      <c r="H301">
        <v>4500</v>
      </c>
      <c r="I301" t="s">
        <v>1000</v>
      </c>
      <c r="J301">
        <f>Table1[[#This Row],[Quantity]]*Table1[[#This Row],[Price]]*(1-Table1[[#This Row],[Discount]])</f>
        <v>4275</v>
      </c>
      <c r="K301">
        <f>VALUE(SUBSTITUTE(Table1[[#This Row],[Discount]],"%",""))/100</f>
        <v>0.05</v>
      </c>
    </row>
    <row r="302" spans="1:11" x14ac:dyDescent="0.35">
      <c r="A302">
        <v>1300</v>
      </c>
      <c r="B302" s="1">
        <v>45676</v>
      </c>
      <c r="C302" t="s">
        <v>299</v>
      </c>
      <c r="D302" t="s">
        <v>980</v>
      </c>
      <c r="E302" t="s">
        <v>996</v>
      </c>
      <c r="F302" t="s">
        <v>999</v>
      </c>
      <c r="G302">
        <v>8</v>
      </c>
      <c r="H302">
        <v>2500</v>
      </c>
      <c r="I302" t="s">
        <v>1003</v>
      </c>
      <c r="J302">
        <f>Table1[[#This Row],[Quantity]]*Table1[[#This Row],[Price]]*(1-Table1[[#This Row],[Discount]])</f>
        <v>17000</v>
      </c>
      <c r="K302">
        <f>VALUE(SUBSTITUTE(Table1[[#This Row],[Discount]],"%",""))/100</f>
        <v>0.15</v>
      </c>
    </row>
    <row r="303" spans="1:11" x14ac:dyDescent="0.35">
      <c r="A303">
        <v>1301</v>
      </c>
      <c r="B303" s="1">
        <v>45655</v>
      </c>
      <c r="C303" t="s">
        <v>300</v>
      </c>
      <c r="D303" t="s">
        <v>981</v>
      </c>
      <c r="E303" t="s">
        <v>985</v>
      </c>
      <c r="F303" t="s">
        <v>998</v>
      </c>
      <c r="G303">
        <v>1</v>
      </c>
      <c r="H303">
        <v>1000</v>
      </c>
      <c r="I303" t="s">
        <v>1000</v>
      </c>
      <c r="J303">
        <f>Table1[[#This Row],[Quantity]]*Table1[[#This Row],[Price]]*(1-Table1[[#This Row],[Discount]])</f>
        <v>950</v>
      </c>
      <c r="K303">
        <f>VALUE(SUBSTITUTE(Table1[[#This Row],[Discount]],"%",""))/100</f>
        <v>0.05</v>
      </c>
    </row>
    <row r="304" spans="1:11" x14ac:dyDescent="0.35">
      <c r="A304">
        <v>1302</v>
      </c>
      <c r="B304" s="1">
        <v>45759</v>
      </c>
      <c r="C304" t="s">
        <v>301</v>
      </c>
      <c r="D304" t="s">
        <v>979</v>
      </c>
      <c r="E304" t="s">
        <v>989</v>
      </c>
      <c r="F304" t="s">
        <v>999</v>
      </c>
      <c r="G304">
        <v>9</v>
      </c>
      <c r="H304">
        <v>250</v>
      </c>
      <c r="I304" t="s">
        <v>1002</v>
      </c>
      <c r="J304">
        <f>Table1[[#This Row],[Quantity]]*Table1[[#This Row],[Price]]*(1-Table1[[#This Row],[Discount]])</f>
        <v>1800</v>
      </c>
      <c r="K304">
        <f>VALUE(SUBSTITUTE(Table1[[#This Row],[Discount]],"%",""))/100</f>
        <v>0.2</v>
      </c>
    </row>
    <row r="305" spans="1:11" x14ac:dyDescent="0.35">
      <c r="A305">
        <v>1303</v>
      </c>
      <c r="B305" s="1">
        <v>45685</v>
      </c>
      <c r="C305" t="s">
        <v>302</v>
      </c>
      <c r="D305" t="s">
        <v>979</v>
      </c>
      <c r="E305" t="s">
        <v>982</v>
      </c>
      <c r="F305" t="s">
        <v>997</v>
      </c>
      <c r="G305">
        <v>8</v>
      </c>
      <c r="H305">
        <v>500</v>
      </c>
      <c r="I305" t="s">
        <v>1003</v>
      </c>
      <c r="J305">
        <f>Table1[[#This Row],[Quantity]]*Table1[[#This Row],[Price]]*(1-Table1[[#This Row],[Discount]])</f>
        <v>3400</v>
      </c>
      <c r="K305">
        <f>VALUE(SUBSTITUTE(Table1[[#This Row],[Discount]],"%",""))/100</f>
        <v>0.15</v>
      </c>
    </row>
    <row r="306" spans="1:11" x14ac:dyDescent="0.35">
      <c r="A306">
        <v>1304</v>
      </c>
      <c r="B306" s="1">
        <v>45538</v>
      </c>
      <c r="C306" t="s">
        <v>303</v>
      </c>
      <c r="D306" t="s">
        <v>980</v>
      </c>
      <c r="E306" t="s">
        <v>984</v>
      </c>
      <c r="F306" t="s">
        <v>998</v>
      </c>
      <c r="G306">
        <v>5</v>
      </c>
      <c r="H306">
        <v>1500</v>
      </c>
      <c r="I306" t="s">
        <v>1001</v>
      </c>
      <c r="J306">
        <f>Table1[[#This Row],[Quantity]]*Table1[[#This Row],[Price]]*(1-Table1[[#This Row],[Discount]])</f>
        <v>7500</v>
      </c>
      <c r="K306">
        <f>VALUE(SUBSTITUTE(Table1[[#This Row],[Discount]],"%",""))/100</f>
        <v>0</v>
      </c>
    </row>
    <row r="307" spans="1:11" x14ac:dyDescent="0.35">
      <c r="A307">
        <v>1305</v>
      </c>
      <c r="B307" s="1">
        <v>45524</v>
      </c>
      <c r="C307" t="s">
        <v>304</v>
      </c>
      <c r="D307" t="s">
        <v>978</v>
      </c>
      <c r="E307" t="s">
        <v>991</v>
      </c>
      <c r="F307" t="s">
        <v>998</v>
      </c>
      <c r="G307">
        <v>6</v>
      </c>
      <c r="H307">
        <v>2500</v>
      </c>
      <c r="I307" t="s">
        <v>1000</v>
      </c>
      <c r="J307">
        <f>Table1[[#This Row],[Quantity]]*Table1[[#This Row],[Price]]*(1-Table1[[#This Row],[Discount]])</f>
        <v>14250</v>
      </c>
      <c r="K307">
        <f>VALUE(SUBSTITUTE(Table1[[#This Row],[Discount]],"%",""))/100</f>
        <v>0.05</v>
      </c>
    </row>
    <row r="308" spans="1:11" x14ac:dyDescent="0.35">
      <c r="A308">
        <v>1306</v>
      </c>
      <c r="B308" s="1">
        <v>45548</v>
      </c>
      <c r="C308" t="s">
        <v>305</v>
      </c>
      <c r="D308" t="s">
        <v>978</v>
      </c>
      <c r="E308" t="s">
        <v>986</v>
      </c>
      <c r="F308" t="s">
        <v>997</v>
      </c>
      <c r="G308">
        <v>9</v>
      </c>
      <c r="H308">
        <v>1000</v>
      </c>
      <c r="I308" t="s">
        <v>1002</v>
      </c>
      <c r="J308">
        <f>Table1[[#This Row],[Quantity]]*Table1[[#This Row],[Price]]*(1-Table1[[#This Row],[Discount]])</f>
        <v>7200</v>
      </c>
      <c r="K308">
        <f>VALUE(SUBSTITUTE(Table1[[#This Row],[Discount]],"%",""))/100</f>
        <v>0.2</v>
      </c>
    </row>
    <row r="309" spans="1:11" x14ac:dyDescent="0.35">
      <c r="A309">
        <v>1307</v>
      </c>
      <c r="B309" s="1">
        <v>45665</v>
      </c>
      <c r="C309" t="s">
        <v>306</v>
      </c>
      <c r="D309" t="s">
        <v>979</v>
      </c>
      <c r="E309" t="s">
        <v>989</v>
      </c>
      <c r="F309" t="s">
        <v>999</v>
      </c>
      <c r="G309">
        <v>2</v>
      </c>
      <c r="H309">
        <v>300</v>
      </c>
      <c r="I309" t="s">
        <v>1003</v>
      </c>
      <c r="J309">
        <f>Table1[[#This Row],[Quantity]]*Table1[[#This Row],[Price]]*(1-Table1[[#This Row],[Discount]])</f>
        <v>510</v>
      </c>
      <c r="K309">
        <f>VALUE(SUBSTITUTE(Table1[[#This Row],[Discount]],"%",""))/100</f>
        <v>0.15</v>
      </c>
    </row>
    <row r="310" spans="1:11" x14ac:dyDescent="0.35">
      <c r="A310">
        <v>1308</v>
      </c>
      <c r="B310" s="1">
        <v>45734</v>
      </c>
      <c r="C310" t="s">
        <v>307</v>
      </c>
      <c r="D310" t="s">
        <v>980</v>
      </c>
      <c r="E310" t="s">
        <v>990</v>
      </c>
      <c r="F310" t="s">
        <v>998</v>
      </c>
      <c r="G310">
        <v>3</v>
      </c>
      <c r="H310">
        <v>1500</v>
      </c>
      <c r="I310" t="s">
        <v>1000</v>
      </c>
      <c r="J310">
        <f>Table1[[#This Row],[Quantity]]*Table1[[#This Row],[Price]]*(1-Table1[[#This Row],[Discount]])</f>
        <v>4275</v>
      </c>
      <c r="K310">
        <f>VALUE(SUBSTITUTE(Table1[[#This Row],[Discount]],"%",""))/100</f>
        <v>0.05</v>
      </c>
    </row>
    <row r="311" spans="1:11" x14ac:dyDescent="0.35">
      <c r="A311">
        <v>1309</v>
      </c>
      <c r="B311" s="1">
        <v>45561</v>
      </c>
      <c r="C311" t="s">
        <v>308</v>
      </c>
      <c r="D311" t="s">
        <v>980</v>
      </c>
      <c r="E311" t="s">
        <v>996</v>
      </c>
      <c r="F311" t="s">
        <v>999</v>
      </c>
      <c r="G311">
        <v>8</v>
      </c>
      <c r="H311">
        <v>250</v>
      </c>
      <c r="I311" t="s">
        <v>1001</v>
      </c>
      <c r="J311">
        <f>Table1[[#This Row],[Quantity]]*Table1[[#This Row],[Price]]*(1-Table1[[#This Row],[Discount]])</f>
        <v>2000</v>
      </c>
      <c r="K311">
        <f>VALUE(SUBSTITUTE(Table1[[#This Row],[Discount]],"%",""))/100</f>
        <v>0</v>
      </c>
    </row>
    <row r="312" spans="1:11" x14ac:dyDescent="0.35">
      <c r="A312">
        <v>1310</v>
      </c>
      <c r="B312" s="1">
        <v>45829</v>
      </c>
      <c r="C312" t="s">
        <v>309</v>
      </c>
      <c r="D312" t="s">
        <v>979</v>
      </c>
      <c r="E312" t="s">
        <v>996</v>
      </c>
      <c r="F312" t="s">
        <v>999</v>
      </c>
      <c r="G312">
        <v>8</v>
      </c>
      <c r="H312">
        <v>1500</v>
      </c>
      <c r="I312" t="s">
        <v>1002</v>
      </c>
      <c r="J312">
        <f>Table1[[#This Row],[Quantity]]*Table1[[#This Row],[Price]]*(1-Table1[[#This Row],[Discount]])</f>
        <v>9600</v>
      </c>
      <c r="K312">
        <f>VALUE(SUBSTITUTE(Table1[[#This Row],[Discount]],"%",""))/100</f>
        <v>0.2</v>
      </c>
    </row>
    <row r="313" spans="1:11" x14ac:dyDescent="0.35">
      <c r="A313">
        <v>1311</v>
      </c>
      <c r="B313" s="1">
        <v>45588</v>
      </c>
      <c r="C313" t="s">
        <v>310</v>
      </c>
      <c r="D313" t="s">
        <v>980</v>
      </c>
      <c r="E313" t="s">
        <v>993</v>
      </c>
      <c r="F313" t="s">
        <v>999</v>
      </c>
      <c r="G313">
        <v>2</v>
      </c>
      <c r="H313">
        <v>2500</v>
      </c>
      <c r="I313" t="s">
        <v>1000</v>
      </c>
      <c r="J313">
        <f>Table1[[#This Row],[Quantity]]*Table1[[#This Row],[Price]]*(1-Table1[[#This Row],[Discount]])</f>
        <v>4750</v>
      </c>
      <c r="K313">
        <f>VALUE(SUBSTITUTE(Table1[[#This Row],[Discount]],"%",""))/100</f>
        <v>0.05</v>
      </c>
    </row>
    <row r="314" spans="1:11" x14ac:dyDescent="0.35">
      <c r="A314">
        <v>1312</v>
      </c>
      <c r="B314" s="1">
        <v>45818</v>
      </c>
      <c r="C314" t="s">
        <v>311</v>
      </c>
      <c r="D314" t="s">
        <v>980</v>
      </c>
      <c r="E314" t="s">
        <v>993</v>
      </c>
      <c r="F314" t="s">
        <v>999</v>
      </c>
      <c r="G314">
        <v>9</v>
      </c>
      <c r="H314">
        <v>300</v>
      </c>
      <c r="I314" t="s">
        <v>1002</v>
      </c>
      <c r="J314">
        <f>Table1[[#This Row],[Quantity]]*Table1[[#This Row],[Price]]*(1-Table1[[#This Row],[Discount]])</f>
        <v>2160</v>
      </c>
      <c r="K314">
        <f>VALUE(SUBSTITUTE(Table1[[#This Row],[Discount]],"%",""))/100</f>
        <v>0.2</v>
      </c>
    </row>
    <row r="315" spans="1:11" x14ac:dyDescent="0.35">
      <c r="A315">
        <v>1313</v>
      </c>
      <c r="B315" s="1">
        <v>45737</v>
      </c>
      <c r="C315" t="s">
        <v>1005</v>
      </c>
      <c r="D315" t="s">
        <v>978</v>
      </c>
      <c r="E315" t="s">
        <v>992</v>
      </c>
      <c r="F315" t="s">
        <v>998</v>
      </c>
      <c r="G315">
        <v>8</v>
      </c>
      <c r="H315">
        <v>100</v>
      </c>
      <c r="I315" t="s">
        <v>1001</v>
      </c>
      <c r="J315">
        <f>Table1[[#This Row],[Quantity]]*Table1[[#This Row],[Price]]*(1-Table1[[#This Row],[Discount]])</f>
        <v>800</v>
      </c>
      <c r="K315">
        <f>VALUE(SUBSTITUTE(Table1[[#This Row],[Discount]],"%",""))/100</f>
        <v>0</v>
      </c>
    </row>
    <row r="316" spans="1:11" x14ac:dyDescent="0.35">
      <c r="A316">
        <v>1314</v>
      </c>
      <c r="B316" s="1">
        <v>45571</v>
      </c>
      <c r="C316" t="s">
        <v>312</v>
      </c>
      <c r="D316" t="s">
        <v>979</v>
      </c>
      <c r="E316" t="s">
        <v>990</v>
      </c>
      <c r="F316" t="s">
        <v>998</v>
      </c>
      <c r="G316">
        <v>5</v>
      </c>
      <c r="H316">
        <v>300</v>
      </c>
      <c r="I316" t="s">
        <v>1004</v>
      </c>
      <c r="J316">
        <f>Table1[[#This Row],[Quantity]]*Table1[[#This Row],[Price]]*(1-Table1[[#This Row],[Discount]])</f>
        <v>1350</v>
      </c>
      <c r="K316">
        <f>VALUE(SUBSTITUTE(Table1[[#This Row],[Discount]],"%",""))/100</f>
        <v>0.1</v>
      </c>
    </row>
    <row r="317" spans="1:11" x14ac:dyDescent="0.35">
      <c r="A317">
        <v>1315</v>
      </c>
      <c r="B317" s="1">
        <v>45637</v>
      </c>
      <c r="C317" t="s">
        <v>313</v>
      </c>
      <c r="D317" t="s">
        <v>978</v>
      </c>
      <c r="E317" t="s">
        <v>983</v>
      </c>
      <c r="F317" t="s">
        <v>997</v>
      </c>
      <c r="G317">
        <v>1</v>
      </c>
      <c r="H317">
        <v>2500</v>
      </c>
      <c r="I317" t="s">
        <v>1004</v>
      </c>
      <c r="J317">
        <f>Table1[[#This Row],[Quantity]]*Table1[[#This Row],[Price]]*(1-Table1[[#This Row],[Discount]])</f>
        <v>2250</v>
      </c>
      <c r="K317">
        <f>VALUE(SUBSTITUTE(Table1[[#This Row],[Discount]],"%",""))/100</f>
        <v>0.1</v>
      </c>
    </row>
    <row r="318" spans="1:11" x14ac:dyDescent="0.35">
      <c r="A318">
        <v>1316</v>
      </c>
      <c r="B318" s="1">
        <v>45656</v>
      </c>
      <c r="C318" t="s">
        <v>314</v>
      </c>
      <c r="D318" t="s">
        <v>978</v>
      </c>
      <c r="E318" t="s">
        <v>984</v>
      </c>
      <c r="F318" t="s">
        <v>998</v>
      </c>
      <c r="G318">
        <v>2</v>
      </c>
      <c r="H318">
        <v>1354.67</v>
      </c>
      <c r="I318" t="s">
        <v>1002</v>
      </c>
      <c r="J318">
        <f>Table1[[#This Row],[Quantity]]*Table1[[#This Row],[Price]]*(1-Table1[[#This Row],[Discount]])</f>
        <v>2167.4720000000002</v>
      </c>
      <c r="K318">
        <f>VALUE(SUBSTITUTE(Table1[[#This Row],[Discount]],"%",""))/100</f>
        <v>0.2</v>
      </c>
    </row>
    <row r="319" spans="1:11" x14ac:dyDescent="0.35">
      <c r="A319">
        <v>1317</v>
      </c>
      <c r="B319" s="1">
        <v>45536</v>
      </c>
      <c r="C319" t="s">
        <v>315</v>
      </c>
      <c r="D319" t="s">
        <v>979</v>
      </c>
      <c r="E319" t="s">
        <v>987</v>
      </c>
      <c r="F319" t="s">
        <v>999</v>
      </c>
      <c r="G319">
        <v>7</v>
      </c>
      <c r="H319">
        <v>300</v>
      </c>
      <c r="I319" t="s">
        <v>1003</v>
      </c>
      <c r="J319">
        <f>Table1[[#This Row],[Quantity]]*Table1[[#This Row],[Price]]*(1-Table1[[#This Row],[Discount]])</f>
        <v>1785</v>
      </c>
      <c r="K319">
        <f>VALUE(SUBSTITUTE(Table1[[#This Row],[Discount]],"%",""))/100</f>
        <v>0.15</v>
      </c>
    </row>
    <row r="320" spans="1:11" x14ac:dyDescent="0.35">
      <c r="A320">
        <v>1318</v>
      </c>
      <c r="B320" s="1">
        <v>45633</v>
      </c>
      <c r="C320" t="s">
        <v>316</v>
      </c>
      <c r="D320" t="s">
        <v>980</v>
      </c>
      <c r="E320" t="s">
        <v>985</v>
      </c>
      <c r="F320" t="s">
        <v>998</v>
      </c>
      <c r="G320">
        <v>6</v>
      </c>
      <c r="H320">
        <v>1000</v>
      </c>
      <c r="I320" t="s">
        <v>1000</v>
      </c>
      <c r="J320">
        <f>Table1[[#This Row],[Quantity]]*Table1[[#This Row],[Price]]*(1-Table1[[#This Row],[Discount]])</f>
        <v>5700</v>
      </c>
      <c r="K320">
        <f>VALUE(SUBSTITUTE(Table1[[#This Row],[Discount]],"%",""))/100</f>
        <v>0.05</v>
      </c>
    </row>
    <row r="321" spans="1:11" x14ac:dyDescent="0.35">
      <c r="A321">
        <v>1319</v>
      </c>
      <c r="B321" s="1">
        <v>45866</v>
      </c>
      <c r="C321" t="s">
        <v>317</v>
      </c>
      <c r="D321" t="s">
        <v>978</v>
      </c>
      <c r="E321" t="s">
        <v>983</v>
      </c>
      <c r="F321" t="s">
        <v>997</v>
      </c>
      <c r="G321">
        <v>2</v>
      </c>
      <c r="H321">
        <v>100</v>
      </c>
      <c r="I321" t="s">
        <v>1002</v>
      </c>
      <c r="J321">
        <f>Table1[[#This Row],[Quantity]]*Table1[[#This Row],[Price]]*(1-Table1[[#This Row],[Discount]])</f>
        <v>160</v>
      </c>
      <c r="K321">
        <f>VALUE(SUBSTITUTE(Table1[[#This Row],[Discount]],"%",""))/100</f>
        <v>0.2</v>
      </c>
    </row>
    <row r="322" spans="1:11" x14ac:dyDescent="0.35">
      <c r="A322">
        <v>1320</v>
      </c>
      <c r="B322" s="1">
        <v>45562</v>
      </c>
      <c r="C322" t="s">
        <v>318</v>
      </c>
      <c r="D322" t="s">
        <v>979</v>
      </c>
      <c r="E322" t="s">
        <v>984</v>
      </c>
      <c r="F322" t="s">
        <v>998</v>
      </c>
      <c r="G322">
        <v>10</v>
      </c>
      <c r="H322">
        <v>4500</v>
      </c>
      <c r="I322" t="s">
        <v>1000</v>
      </c>
      <c r="J322">
        <f>Table1[[#This Row],[Quantity]]*Table1[[#This Row],[Price]]*(1-Table1[[#This Row],[Discount]])</f>
        <v>42750</v>
      </c>
      <c r="K322">
        <f>VALUE(SUBSTITUTE(Table1[[#This Row],[Discount]],"%",""))/100</f>
        <v>0.05</v>
      </c>
    </row>
    <row r="323" spans="1:11" x14ac:dyDescent="0.35">
      <c r="A323">
        <v>1321</v>
      </c>
      <c r="B323" s="1">
        <v>45673</v>
      </c>
      <c r="C323" t="s">
        <v>319</v>
      </c>
      <c r="D323" t="s">
        <v>978</v>
      </c>
      <c r="E323" t="s">
        <v>994</v>
      </c>
      <c r="F323" t="s">
        <v>997</v>
      </c>
      <c r="G323">
        <v>6</v>
      </c>
      <c r="H323">
        <v>2500</v>
      </c>
      <c r="I323" t="s">
        <v>1004</v>
      </c>
      <c r="J323">
        <f>Table1[[#This Row],[Quantity]]*Table1[[#This Row],[Price]]*(1-Table1[[#This Row],[Discount]])</f>
        <v>13500</v>
      </c>
      <c r="K323">
        <f>VALUE(SUBSTITUTE(Table1[[#This Row],[Discount]],"%",""))/100</f>
        <v>0.1</v>
      </c>
    </row>
    <row r="324" spans="1:11" x14ac:dyDescent="0.35">
      <c r="A324">
        <v>1322</v>
      </c>
      <c r="B324" s="1">
        <v>45607</v>
      </c>
      <c r="C324" t="s">
        <v>320</v>
      </c>
      <c r="D324" t="s">
        <v>981</v>
      </c>
      <c r="E324" t="s">
        <v>995</v>
      </c>
      <c r="F324" t="s">
        <v>997</v>
      </c>
      <c r="G324">
        <v>10</v>
      </c>
      <c r="H324">
        <v>1000</v>
      </c>
      <c r="I324" t="s">
        <v>1001</v>
      </c>
      <c r="J324">
        <f>Table1[[#This Row],[Quantity]]*Table1[[#This Row],[Price]]*(1-Table1[[#This Row],[Discount]])</f>
        <v>10000</v>
      </c>
      <c r="K324">
        <f>VALUE(SUBSTITUTE(Table1[[#This Row],[Discount]],"%",""))/100</f>
        <v>0</v>
      </c>
    </row>
    <row r="325" spans="1:11" x14ac:dyDescent="0.35">
      <c r="A325">
        <v>1323</v>
      </c>
      <c r="B325" s="1">
        <v>45544</v>
      </c>
      <c r="C325" t="s">
        <v>321</v>
      </c>
      <c r="D325" t="s">
        <v>980</v>
      </c>
      <c r="E325" t="s">
        <v>993</v>
      </c>
      <c r="F325" t="s">
        <v>999</v>
      </c>
      <c r="G325">
        <v>1</v>
      </c>
      <c r="H325">
        <v>500</v>
      </c>
      <c r="I325" t="s">
        <v>1003</v>
      </c>
      <c r="J325">
        <f>Table1[[#This Row],[Quantity]]*Table1[[#This Row],[Price]]*(1-Table1[[#This Row],[Discount]])</f>
        <v>425</v>
      </c>
      <c r="K325">
        <f>VALUE(SUBSTITUTE(Table1[[#This Row],[Discount]],"%",""))/100</f>
        <v>0.15</v>
      </c>
    </row>
    <row r="326" spans="1:11" x14ac:dyDescent="0.35">
      <c r="A326">
        <v>1324</v>
      </c>
      <c r="B326" s="1">
        <v>45760</v>
      </c>
      <c r="C326" t="s">
        <v>322</v>
      </c>
      <c r="D326" t="s">
        <v>980</v>
      </c>
      <c r="E326" t="s">
        <v>982</v>
      </c>
      <c r="F326" t="s">
        <v>997</v>
      </c>
      <c r="G326">
        <v>6</v>
      </c>
      <c r="H326">
        <v>1500</v>
      </c>
      <c r="I326" t="s">
        <v>1000</v>
      </c>
      <c r="J326">
        <f>Table1[[#This Row],[Quantity]]*Table1[[#This Row],[Price]]*(1-Table1[[#This Row],[Discount]])</f>
        <v>8550</v>
      </c>
      <c r="K326">
        <f>VALUE(SUBSTITUTE(Table1[[#This Row],[Discount]],"%",""))/100</f>
        <v>0.05</v>
      </c>
    </row>
    <row r="327" spans="1:11" x14ac:dyDescent="0.35">
      <c r="A327">
        <v>1325</v>
      </c>
      <c r="B327" s="1">
        <v>45522</v>
      </c>
      <c r="C327" t="s">
        <v>323</v>
      </c>
      <c r="E327" t="s">
        <v>983</v>
      </c>
      <c r="F327" t="s">
        <v>997</v>
      </c>
      <c r="G327">
        <v>8</v>
      </c>
      <c r="H327">
        <v>250</v>
      </c>
      <c r="I327" t="s">
        <v>1001</v>
      </c>
      <c r="J327">
        <f>Table1[[#This Row],[Quantity]]*Table1[[#This Row],[Price]]*(1-Table1[[#This Row],[Discount]])</f>
        <v>2000</v>
      </c>
      <c r="K327">
        <f>VALUE(SUBSTITUTE(Table1[[#This Row],[Discount]],"%",""))/100</f>
        <v>0</v>
      </c>
    </row>
    <row r="328" spans="1:11" x14ac:dyDescent="0.35">
      <c r="A328">
        <v>1326</v>
      </c>
      <c r="B328" s="1">
        <v>45554</v>
      </c>
      <c r="C328" t="s">
        <v>324</v>
      </c>
      <c r="D328" t="s">
        <v>980</v>
      </c>
      <c r="E328" t="s">
        <v>989</v>
      </c>
      <c r="F328" t="s">
        <v>999</v>
      </c>
      <c r="G328">
        <v>5</v>
      </c>
      <c r="H328">
        <v>2500</v>
      </c>
      <c r="I328" t="s">
        <v>1003</v>
      </c>
      <c r="J328">
        <f>Table1[[#This Row],[Quantity]]*Table1[[#This Row],[Price]]*(1-Table1[[#This Row],[Discount]])</f>
        <v>10625</v>
      </c>
      <c r="K328">
        <f>VALUE(SUBSTITUTE(Table1[[#This Row],[Discount]],"%",""))/100</f>
        <v>0.15</v>
      </c>
    </row>
    <row r="329" spans="1:11" x14ac:dyDescent="0.35">
      <c r="A329">
        <v>1327</v>
      </c>
      <c r="B329" s="1">
        <v>45694</v>
      </c>
      <c r="C329" t="s">
        <v>325</v>
      </c>
      <c r="D329" t="s">
        <v>978</v>
      </c>
      <c r="E329" t="s">
        <v>987</v>
      </c>
      <c r="F329" t="s">
        <v>999</v>
      </c>
      <c r="G329">
        <v>5</v>
      </c>
      <c r="H329">
        <v>250</v>
      </c>
      <c r="I329" t="s">
        <v>1002</v>
      </c>
      <c r="J329">
        <f>Table1[[#This Row],[Quantity]]*Table1[[#This Row],[Price]]*(1-Table1[[#This Row],[Discount]])</f>
        <v>1000</v>
      </c>
      <c r="K329">
        <f>VALUE(SUBSTITUTE(Table1[[#This Row],[Discount]],"%",""))/100</f>
        <v>0.2</v>
      </c>
    </row>
    <row r="330" spans="1:11" x14ac:dyDescent="0.35">
      <c r="A330">
        <v>1328</v>
      </c>
      <c r="B330" s="1">
        <v>45774</v>
      </c>
      <c r="C330" t="s">
        <v>326</v>
      </c>
      <c r="D330" t="s">
        <v>979</v>
      </c>
      <c r="E330" t="s">
        <v>982</v>
      </c>
      <c r="F330" t="s">
        <v>997</v>
      </c>
      <c r="G330">
        <v>5</v>
      </c>
      <c r="H330">
        <v>2500</v>
      </c>
      <c r="I330" t="s">
        <v>1000</v>
      </c>
      <c r="J330">
        <f>Table1[[#This Row],[Quantity]]*Table1[[#This Row],[Price]]*(1-Table1[[#This Row],[Discount]])</f>
        <v>11875</v>
      </c>
      <c r="K330">
        <f>VALUE(SUBSTITUTE(Table1[[#This Row],[Discount]],"%",""))/100</f>
        <v>0.05</v>
      </c>
    </row>
    <row r="331" spans="1:11" x14ac:dyDescent="0.35">
      <c r="A331">
        <v>1329</v>
      </c>
      <c r="B331" s="1">
        <v>45638</v>
      </c>
      <c r="C331" t="s">
        <v>327</v>
      </c>
      <c r="E331" t="s">
        <v>995</v>
      </c>
      <c r="F331" t="s">
        <v>997</v>
      </c>
      <c r="G331">
        <v>1</v>
      </c>
      <c r="H331">
        <v>1000</v>
      </c>
      <c r="I331" t="s">
        <v>1000</v>
      </c>
      <c r="J331">
        <f>Table1[[#This Row],[Quantity]]*Table1[[#This Row],[Price]]*(1-Table1[[#This Row],[Discount]])</f>
        <v>950</v>
      </c>
      <c r="K331">
        <f>VALUE(SUBSTITUTE(Table1[[#This Row],[Discount]],"%",""))/100</f>
        <v>0.05</v>
      </c>
    </row>
    <row r="332" spans="1:11" x14ac:dyDescent="0.35">
      <c r="A332">
        <v>1330</v>
      </c>
      <c r="B332" s="1">
        <v>45508</v>
      </c>
      <c r="C332" t="s">
        <v>328</v>
      </c>
      <c r="D332" t="s">
        <v>981</v>
      </c>
      <c r="E332" t="s">
        <v>993</v>
      </c>
      <c r="F332" t="s">
        <v>999</v>
      </c>
      <c r="G332">
        <v>9</v>
      </c>
      <c r="H332">
        <v>1000</v>
      </c>
      <c r="I332" t="s">
        <v>1000</v>
      </c>
      <c r="J332">
        <f>Table1[[#This Row],[Quantity]]*Table1[[#This Row],[Price]]*(1-Table1[[#This Row],[Discount]])</f>
        <v>8550</v>
      </c>
      <c r="K332">
        <f>VALUE(SUBSTITUTE(Table1[[#This Row],[Discount]],"%",""))/100</f>
        <v>0.05</v>
      </c>
    </row>
    <row r="333" spans="1:11" x14ac:dyDescent="0.35">
      <c r="A333">
        <v>1331</v>
      </c>
      <c r="B333" s="1">
        <v>45667</v>
      </c>
      <c r="C333" t="s">
        <v>329</v>
      </c>
      <c r="D333" t="s">
        <v>979</v>
      </c>
      <c r="E333" t="s">
        <v>992</v>
      </c>
      <c r="F333" t="s">
        <v>998</v>
      </c>
      <c r="G333">
        <v>6</v>
      </c>
      <c r="H333">
        <v>2500</v>
      </c>
      <c r="I333" t="s">
        <v>1004</v>
      </c>
      <c r="J333">
        <f>Table1[[#This Row],[Quantity]]*Table1[[#This Row],[Price]]*(1-Table1[[#This Row],[Discount]])</f>
        <v>13500</v>
      </c>
      <c r="K333">
        <f>VALUE(SUBSTITUTE(Table1[[#This Row],[Discount]],"%",""))/100</f>
        <v>0.1</v>
      </c>
    </row>
    <row r="334" spans="1:11" x14ac:dyDescent="0.35">
      <c r="A334">
        <v>1332</v>
      </c>
      <c r="B334" s="1">
        <v>45545</v>
      </c>
      <c r="C334" t="s">
        <v>330</v>
      </c>
      <c r="D334" t="s">
        <v>980</v>
      </c>
      <c r="E334" t="s">
        <v>996</v>
      </c>
      <c r="F334" t="s">
        <v>999</v>
      </c>
      <c r="G334">
        <v>9</v>
      </c>
      <c r="H334">
        <v>1500</v>
      </c>
      <c r="I334" t="s">
        <v>1001</v>
      </c>
      <c r="J334">
        <f>Table1[[#This Row],[Quantity]]*Table1[[#This Row],[Price]]*(1-Table1[[#This Row],[Discount]])</f>
        <v>13500</v>
      </c>
      <c r="K334">
        <f>VALUE(SUBSTITUTE(Table1[[#This Row],[Discount]],"%",""))/100</f>
        <v>0</v>
      </c>
    </row>
    <row r="335" spans="1:11" x14ac:dyDescent="0.35">
      <c r="A335">
        <v>1333</v>
      </c>
      <c r="B335" s="1">
        <v>45741</v>
      </c>
      <c r="C335" t="s">
        <v>331</v>
      </c>
      <c r="D335" t="s">
        <v>979</v>
      </c>
      <c r="E335" t="s">
        <v>991</v>
      </c>
      <c r="F335" t="s">
        <v>998</v>
      </c>
      <c r="G335">
        <v>2</v>
      </c>
      <c r="H335">
        <v>500</v>
      </c>
      <c r="I335" t="s">
        <v>1002</v>
      </c>
      <c r="J335">
        <f>Table1[[#This Row],[Quantity]]*Table1[[#This Row],[Price]]*(1-Table1[[#This Row],[Discount]])</f>
        <v>800</v>
      </c>
      <c r="K335">
        <f>VALUE(SUBSTITUTE(Table1[[#This Row],[Discount]],"%",""))/100</f>
        <v>0.2</v>
      </c>
    </row>
    <row r="336" spans="1:11" x14ac:dyDescent="0.35">
      <c r="A336">
        <v>1334</v>
      </c>
      <c r="B336" s="1">
        <v>45670</v>
      </c>
      <c r="C336" t="s">
        <v>332</v>
      </c>
      <c r="D336" t="s">
        <v>979</v>
      </c>
      <c r="E336" t="s">
        <v>993</v>
      </c>
      <c r="F336" t="s">
        <v>999</v>
      </c>
      <c r="G336">
        <v>7</v>
      </c>
      <c r="H336">
        <v>300</v>
      </c>
      <c r="I336" t="s">
        <v>1000</v>
      </c>
      <c r="J336">
        <f>Table1[[#This Row],[Quantity]]*Table1[[#This Row],[Price]]*(1-Table1[[#This Row],[Discount]])</f>
        <v>1995</v>
      </c>
      <c r="K336">
        <f>VALUE(SUBSTITUTE(Table1[[#This Row],[Discount]],"%",""))/100</f>
        <v>0.05</v>
      </c>
    </row>
    <row r="337" spans="1:11" x14ac:dyDescent="0.35">
      <c r="A337">
        <v>1335</v>
      </c>
      <c r="B337" s="1">
        <v>45704</v>
      </c>
      <c r="C337" t="s">
        <v>333</v>
      </c>
      <c r="D337" t="s">
        <v>981</v>
      </c>
      <c r="E337" t="s">
        <v>988</v>
      </c>
      <c r="F337" t="s">
        <v>999</v>
      </c>
      <c r="G337">
        <v>6</v>
      </c>
      <c r="H337">
        <v>500</v>
      </c>
      <c r="I337" t="s">
        <v>1003</v>
      </c>
      <c r="J337">
        <f>Table1[[#This Row],[Quantity]]*Table1[[#This Row],[Price]]*(1-Table1[[#This Row],[Discount]])</f>
        <v>2550</v>
      </c>
      <c r="K337">
        <f>VALUE(SUBSTITUTE(Table1[[#This Row],[Discount]],"%",""))/100</f>
        <v>0.15</v>
      </c>
    </row>
    <row r="338" spans="1:11" x14ac:dyDescent="0.35">
      <c r="A338">
        <v>1336</v>
      </c>
      <c r="B338" s="1">
        <v>45587</v>
      </c>
      <c r="C338" t="s">
        <v>334</v>
      </c>
      <c r="D338" t="s">
        <v>979</v>
      </c>
      <c r="E338" t="s">
        <v>982</v>
      </c>
      <c r="F338" t="s">
        <v>997</v>
      </c>
      <c r="G338">
        <v>3</v>
      </c>
      <c r="H338">
        <v>500</v>
      </c>
      <c r="I338" t="s">
        <v>1002</v>
      </c>
      <c r="J338">
        <f>Table1[[#This Row],[Quantity]]*Table1[[#This Row],[Price]]*(1-Table1[[#This Row],[Discount]])</f>
        <v>1200</v>
      </c>
      <c r="K338">
        <f>VALUE(SUBSTITUTE(Table1[[#This Row],[Discount]],"%",""))/100</f>
        <v>0.2</v>
      </c>
    </row>
    <row r="339" spans="1:11" x14ac:dyDescent="0.35">
      <c r="A339">
        <v>1337</v>
      </c>
      <c r="B339" s="1">
        <v>45545</v>
      </c>
      <c r="C339" t="s">
        <v>335</v>
      </c>
      <c r="E339" t="s">
        <v>993</v>
      </c>
      <c r="F339" t="s">
        <v>999</v>
      </c>
      <c r="G339">
        <v>6</v>
      </c>
      <c r="H339">
        <v>250</v>
      </c>
      <c r="I339" t="s">
        <v>1002</v>
      </c>
      <c r="J339">
        <f>Table1[[#This Row],[Quantity]]*Table1[[#This Row],[Price]]*(1-Table1[[#This Row],[Discount]])</f>
        <v>1200</v>
      </c>
      <c r="K339">
        <f>VALUE(SUBSTITUTE(Table1[[#This Row],[Discount]],"%",""))/100</f>
        <v>0.2</v>
      </c>
    </row>
    <row r="340" spans="1:11" x14ac:dyDescent="0.35">
      <c r="A340">
        <v>1338</v>
      </c>
      <c r="B340" s="1">
        <v>45637</v>
      </c>
      <c r="C340" t="s">
        <v>336</v>
      </c>
      <c r="D340" t="s">
        <v>980</v>
      </c>
      <c r="E340" t="s">
        <v>989</v>
      </c>
      <c r="F340" t="s">
        <v>999</v>
      </c>
      <c r="G340">
        <v>4</v>
      </c>
      <c r="H340">
        <v>4500</v>
      </c>
      <c r="I340" t="s">
        <v>1004</v>
      </c>
      <c r="J340">
        <f>Table1[[#This Row],[Quantity]]*Table1[[#This Row],[Price]]*(1-Table1[[#This Row],[Discount]])</f>
        <v>16200</v>
      </c>
      <c r="K340">
        <f>VALUE(SUBSTITUTE(Table1[[#This Row],[Discount]],"%",""))/100</f>
        <v>0.1</v>
      </c>
    </row>
    <row r="341" spans="1:11" x14ac:dyDescent="0.35">
      <c r="A341">
        <v>1339</v>
      </c>
      <c r="B341" s="1">
        <v>45592</v>
      </c>
      <c r="C341" t="s">
        <v>337</v>
      </c>
      <c r="D341" t="s">
        <v>979</v>
      </c>
      <c r="E341" t="s">
        <v>983</v>
      </c>
      <c r="F341" t="s">
        <v>997</v>
      </c>
      <c r="G341">
        <v>3</v>
      </c>
      <c r="H341">
        <v>100</v>
      </c>
      <c r="I341" t="s">
        <v>1003</v>
      </c>
      <c r="J341">
        <f>Table1[[#This Row],[Quantity]]*Table1[[#This Row],[Price]]*(1-Table1[[#This Row],[Discount]])</f>
        <v>255</v>
      </c>
      <c r="K341">
        <f>VALUE(SUBSTITUTE(Table1[[#This Row],[Discount]],"%",""))/100</f>
        <v>0.15</v>
      </c>
    </row>
    <row r="342" spans="1:11" x14ac:dyDescent="0.35">
      <c r="A342">
        <v>1340</v>
      </c>
      <c r="B342" s="1">
        <v>45560</v>
      </c>
      <c r="C342" t="s">
        <v>338</v>
      </c>
      <c r="D342" t="s">
        <v>979</v>
      </c>
      <c r="E342" t="s">
        <v>985</v>
      </c>
      <c r="F342" t="s">
        <v>998</v>
      </c>
      <c r="G342">
        <v>1</v>
      </c>
      <c r="H342">
        <v>2500</v>
      </c>
      <c r="I342" t="s">
        <v>1004</v>
      </c>
      <c r="J342">
        <f>Table1[[#This Row],[Quantity]]*Table1[[#This Row],[Price]]*(1-Table1[[#This Row],[Discount]])</f>
        <v>2250</v>
      </c>
      <c r="K342">
        <f>VALUE(SUBSTITUTE(Table1[[#This Row],[Discount]],"%",""))/100</f>
        <v>0.1</v>
      </c>
    </row>
    <row r="343" spans="1:11" x14ac:dyDescent="0.35">
      <c r="A343">
        <v>1341</v>
      </c>
      <c r="B343" s="1">
        <v>45801</v>
      </c>
      <c r="C343" t="s">
        <v>339</v>
      </c>
      <c r="D343" t="s">
        <v>978</v>
      </c>
      <c r="E343" t="s">
        <v>990</v>
      </c>
      <c r="F343" t="s">
        <v>998</v>
      </c>
      <c r="G343">
        <v>5</v>
      </c>
      <c r="H343">
        <v>250</v>
      </c>
      <c r="I343" t="s">
        <v>1001</v>
      </c>
      <c r="J343">
        <f>Table1[[#This Row],[Quantity]]*Table1[[#This Row],[Price]]*(1-Table1[[#This Row],[Discount]])</f>
        <v>1250</v>
      </c>
      <c r="K343">
        <f>VALUE(SUBSTITUTE(Table1[[#This Row],[Discount]],"%",""))/100</f>
        <v>0</v>
      </c>
    </row>
    <row r="344" spans="1:11" x14ac:dyDescent="0.35">
      <c r="A344">
        <v>1342</v>
      </c>
      <c r="B344" s="1">
        <v>45726</v>
      </c>
      <c r="C344" t="s">
        <v>340</v>
      </c>
      <c r="D344" t="s">
        <v>978</v>
      </c>
      <c r="E344" t="s">
        <v>996</v>
      </c>
      <c r="F344" t="s">
        <v>999</v>
      </c>
      <c r="G344">
        <v>2</v>
      </c>
      <c r="H344">
        <v>250</v>
      </c>
      <c r="I344" t="s">
        <v>1002</v>
      </c>
      <c r="J344">
        <f>Table1[[#This Row],[Quantity]]*Table1[[#This Row],[Price]]*(1-Table1[[#This Row],[Discount]])</f>
        <v>400</v>
      </c>
      <c r="K344">
        <f>VALUE(SUBSTITUTE(Table1[[#This Row],[Discount]],"%",""))/100</f>
        <v>0.2</v>
      </c>
    </row>
    <row r="345" spans="1:11" x14ac:dyDescent="0.35">
      <c r="A345">
        <v>1343</v>
      </c>
      <c r="B345" s="1">
        <v>45747</v>
      </c>
      <c r="C345" t="s">
        <v>341</v>
      </c>
      <c r="D345" t="s">
        <v>981</v>
      </c>
      <c r="E345" t="s">
        <v>984</v>
      </c>
      <c r="F345" t="s">
        <v>998</v>
      </c>
      <c r="G345">
        <v>3</v>
      </c>
      <c r="H345">
        <v>500</v>
      </c>
      <c r="I345" t="s">
        <v>1004</v>
      </c>
      <c r="J345">
        <f>Table1[[#This Row],[Quantity]]*Table1[[#This Row],[Price]]*(1-Table1[[#This Row],[Discount]])</f>
        <v>1350</v>
      </c>
      <c r="K345">
        <f>VALUE(SUBSTITUTE(Table1[[#This Row],[Discount]],"%",""))/100</f>
        <v>0.1</v>
      </c>
    </row>
    <row r="346" spans="1:11" x14ac:dyDescent="0.35">
      <c r="A346">
        <v>1344</v>
      </c>
      <c r="B346" s="1">
        <v>45671</v>
      </c>
      <c r="C346" t="s">
        <v>342</v>
      </c>
      <c r="D346" t="s">
        <v>978</v>
      </c>
      <c r="E346" t="s">
        <v>986</v>
      </c>
      <c r="F346" t="s">
        <v>997</v>
      </c>
      <c r="G346">
        <v>6</v>
      </c>
      <c r="H346">
        <v>4500</v>
      </c>
      <c r="I346" t="s">
        <v>1004</v>
      </c>
      <c r="J346">
        <f>Table1[[#This Row],[Quantity]]*Table1[[#This Row],[Price]]*(1-Table1[[#This Row],[Discount]])</f>
        <v>24300</v>
      </c>
      <c r="K346">
        <f>VALUE(SUBSTITUTE(Table1[[#This Row],[Discount]],"%",""))/100</f>
        <v>0.1</v>
      </c>
    </row>
    <row r="347" spans="1:11" x14ac:dyDescent="0.35">
      <c r="A347">
        <v>1345</v>
      </c>
      <c r="B347" s="1">
        <v>45607</v>
      </c>
      <c r="C347" t="s">
        <v>343</v>
      </c>
      <c r="D347" t="s">
        <v>980</v>
      </c>
      <c r="E347" t="s">
        <v>982</v>
      </c>
      <c r="F347" t="s">
        <v>997</v>
      </c>
      <c r="G347">
        <v>3</v>
      </c>
      <c r="H347">
        <v>250</v>
      </c>
      <c r="I347" t="s">
        <v>1000</v>
      </c>
      <c r="J347">
        <f>Table1[[#This Row],[Quantity]]*Table1[[#This Row],[Price]]*(1-Table1[[#This Row],[Discount]])</f>
        <v>712.5</v>
      </c>
      <c r="K347">
        <f>VALUE(SUBSTITUTE(Table1[[#This Row],[Discount]],"%",""))/100</f>
        <v>0.05</v>
      </c>
    </row>
    <row r="348" spans="1:11" x14ac:dyDescent="0.35">
      <c r="A348">
        <v>1346</v>
      </c>
      <c r="B348" s="1">
        <v>45680</v>
      </c>
      <c r="C348" t="s">
        <v>344</v>
      </c>
      <c r="D348" t="s">
        <v>979</v>
      </c>
      <c r="E348" t="s">
        <v>984</v>
      </c>
      <c r="F348" t="s">
        <v>998</v>
      </c>
      <c r="G348">
        <v>5</v>
      </c>
      <c r="H348">
        <v>4500</v>
      </c>
      <c r="I348" t="s">
        <v>1004</v>
      </c>
      <c r="J348">
        <f>Table1[[#This Row],[Quantity]]*Table1[[#This Row],[Price]]*(1-Table1[[#This Row],[Discount]])</f>
        <v>20250</v>
      </c>
      <c r="K348">
        <f>VALUE(SUBSTITUTE(Table1[[#This Row],[Discount]],"%",""))/100</f>
        <v>0.1</v>
      </c>
    </row>
    <row r="349" spans="1:11" x14ac:dyDescent="0.35">
      <c r="A349">
        <v>1347</v>
      </c>
      <c r="B349" s="1">
        <v>45530</v>
      </c>
      <c r="C349" t="s">
        <v>345</v>
      </c>
      <c r="D349" t="s">
        <v>978</v>
      </c>
      <c r="E349" t="s">
        <v>995</v>
      </c>
      <c r="F349" t="s">
        <v>997</v>
      </c>
      <c r="G349">
        <v>1</v>
      </c>
      <c r="H349">
        <v>500</v>
      </c>
      <c r="I349" t="s">
        <v>1004</v>
      </c>
      <c r="J349">
        <f>Table1[[#This Row],[Quantity]]*Table1[[#This Row],[Price]]*(1-Table1[[#This Row],[Discount]])</f>
        <v>450</v>
      </c>
      <c r="K349">
        <f>VALUE(SUBSTITUTE(Table1[[#This Row],[Discount]],"%",""))/100</f>
        <v>0.1</v>
      </c>
    </row>
    <row r="350" spans="1:11" x14ac:dyDescent="0.35">
      <c r="A350">
        <v>1348</v>
      </c>
      <c r="B350" s="1">
        <v>45731</v>
      </c>
      <c r="C350" t="s">
        <v>346</v>
      </c>
      <c r="D350" t="s">
        <v>979</v>
      </c>
      <c r="E350" t="s">
        <v>982</v>
      </c>
      <c r="F350" t="s">
        <v>997</v>
      </c>
      <c r="G350">
        <v>5</v>
      </c>
      <c r="H350">
        <v>1000</v>
      </c>
      <c r="I350" t="s">
        <v>1000</v>
      </c>
      <c r="J350">
        <f>Table1[[#This Row],[Quantity]]*Table1[[#This Row],[Price]]*(1-Table1[[#This Row],[Discount]])</f>
        <v>4750</v>
      </c>
      <c r="K350">
        <f>VALUE(SUBSTITUTE(Table1[[#This Row],[Discount]],"%",""))/100</f>
        <v>0.05</v>
      </c>
    </row>
    <row r="351" spans="1:11" x14ac:dyDescent="0.35">
      <c r="A351">
        <v>1349</v>
      </c>
      <c r="B351" s="1">
        <v>45808</v>
      </c>
      <c r="C351" t="s">
        <v>347</v>
      </c>
      <c r="D351" t="s">
        <v>978</v>
      </c>
      <c r="E351" t="s">
        <v>983</v>
      </c>
      <c r="F351" t="s">
        <v>997</v>
      </c>
      <c r="G351">
        <v>2</v>
      </c>
      <c r="H351">
        <v>4500</v>
      </c>
      <c r="I351" t="s">
        <v>1001</v>
      </c>
      <c r="J351">
        <f>Table1[[#This Row],[Quantity]]*Table1[[#This Row],[Price]]*(1-Table1[[#This Row],[Discount]])</f>
        <v>9000</v>
      </c>
      <c r="K351">
        <f>VALUE(SUBSTITUTE(Table1[[#This Row],[Discount]],"%",""))/100</f>
        <v>0</v>
      </c>
    </row>
    <row r="352" spans="1:11" x14ac:dyDescent="0.35">
      <c r="A352">
        <v>1350</v>
      </c>
      <c r="B352" s="1">
        <v>45723</v>
      </c>
      <c r="C352" t="s">
        <v>348</v>
      </c>
      <c r="D352" t="s">
        <v>979</v>
      </c>
      <c r="E352" t="s">
        <v>990</v>
      </c>
      <c r="F352" t="s">
        <v>998</v>
      </c>
      <c r="G352">
        <v>4</v>
      </c>
      <c r="H352">
        <v>2500</v>
      </c>
      <c r="I352" t="s">
        <v>1004</v>
      </c>
      <c r="J352">
        <f>Table1[[#This Row],[Quantity]]*Table1[[#This Row],[Price]]*(1-Table1[[#This Row],[Discount]])</f>
        <v>9000</v>
      </c>
      <c r="K352">
        <f>VALUE(SUBSTITUTE(Table1[[#This Row],[Discount]],"%",""))/100</f>
        <v>0.1</v>
      </c>
    </row>
    <row r="353" spans="1:11" x14ac:dyDescent="0.35">
      <c r="A353">
        <v>1351</v>
      </c>
      <c r="B353" s="1">
        <v>45559</v>
      </c>
      <c r="C353" t="s">
        <v>349</v>
      </c>
      <c r="D353" t="s">
        <v>979</v>
      </c>
      <c r="E353" t="s">
        <v>992</v>
      </c>
      <c r="F353" t="s">
        <v>998</v>
      </c>
      <c r="G353">
        <v>4</v>
      </c>
      <c r="H353">
        <v>4500</v>
      </c>
      <c r="I353" t="s">
        <v>1000</v>
      </c>
      <c r="J353">
        <f>Table1[[#This Row],[Quantity]]*Table1[[#This Row],[Price]]*(1-Table1[[#This Row],[Discount]])</f>
        <v>17100</v>
      </c>
      <c r="K353">
        <f>VALUE(SUBSTITUTE(Table1[[#This Row],[Discount]],"%",""))/100</f>
        <v>0.05</v>
      </c>
    </row>
    <row r="354" spans="1:11" x14ac:dyDescent="0.35">
      <c r="A354">
        <v>1352</v>
      </c>
      <c r="B354" s="1">
        <v>45826</v>
      </c>
      <c r="C354" t="s">
        <v>350</v>
      </c>
      <c r="D354" t="s">
        <v>980</v>
      </c>
      <c r="E354" t="s">
        <v>984</v>
      </c>
      <c r="F354" t="s">
        <v>998</v>
      </c>
      <c r="G354">
        <v>1</v>
      </c>
      <c r="H354">
        <v>300</v>
      </c>
      <c r="I354" t="s">
        <v>1002</v>
      </c>
      <c r="J354">
        <f>Table1[[#This Row],[Quantity]]*Table1[[#This Row],[Price]]*(1-Table1[[#This Row],[Discount]])</f>
        <v>240</v>
      </c>
      <c r="K354">
        <f>VALUE(SUBSTITUTE(Table1[[#This Row],[Discount]],"%",""))/100</f>
        <v>0.2</v>
      </c>
    </row>
    <row r="355" spans="1:11" x14ac:dyDescent="0.35">
      <c r="A355">
        <v>1353</v>
      </c>
      <c r="B355" s="1">
        <v>45568</v>
      </c>
      <c r="C355" t="s">
        <v>351</v>
      </c>
      <c r="D355" t="s">
        <v>978</v>
      </c>
      <c r="E355" t="s">
        <v>994</v>
      </c>
      <c r="F355" t="s">
        <v>997</v>
      </c>
      <c r="G355">
        <v>3</v>
      </c>
      <c r="H355">
        <v>1500</v>
      </c>
      <c r="I355" t="s">
        <v>1000</v>
      </c>
      <c r="J355">
        <f>Table1[[#This Row],[Quantity]]*Table1[[#This Row],[Price]]*(1-Table1[[#This Row],[Discount]])</f>
        <v>4275</v>
      </c>
      <c r="K355">
        <f>VALUE(SUBSTITUTE(Table1[[#This Row],[Discount]],"%",""))/100</f>
        <v>0.05</v>
      </c>
    </row>
    <row r="356" spans="1:11" x14ac:dyDescent="0.35">
      <c r="A356">
        <v>1354</v>
      </c>
      <c r="B356" s="1">
        <v>45704</v>
      </c>
      <c r="C356" t="s">
        <v>352</v>
      </c>
      <c r="D356" t="s">
        <v>980</v>
      </c>
      <c r="E356" t="s">
        <v>995</v>
      </c>
      <c r="F356" t="s">
        <v>997</v>
      </c>
      <c r="G356">
        <v>10</v>
      </c>
      <c r="H356">
        <v>500</v>
      </c>
      <c r="I356" t="s">
        <v>1004</v>
      </c>
      <c r="J356">
        <f>Table1[[#This Row],[Quantity]]*Table1[[#This Row],[Price]]*(1-Table1[[#This Row],[Discount]])</f>
        <v>4500</v>
      </c>
      <c r="K356">
        <f>VALUE(SUBSTITUTE(Table1[[#This Row],[Discount]],"%",""))/100</f>
        <v>0.1</v>
      </c>
    </row>
    <row r="357" spans="1:11" x14ac:dyDescent="0.35">
      <c r="A357">
        <v>1355</v>
      </c>
      <c r="B357" s="1">
        <v>45610</v>
      </c>
      <c r="C357" t="s">
        <v>353</v>
      </c>
      <c r="D357" t="s">
        <v>978</v>
      </c>
      <c r="E357" t="s">
        <v>996</v>
      </c>
      <c r="F357" t="s">
        <v>999</v>
      </c>
      <c r="G357">
        <v>3</v>
      </c>
      <c r="H357">
        <v>2500</v>
      </c>
      <c r="I357" t="s">
        <v>1000</v>
      </c>
      <c r="J357">
        <f>Table1[[#This Row],[Quantity]]*Table1[[#This Row],[Price]]*(1-Table1[[#This Row],[Discount]])</f>
        <v>7125</v>
      </c>
      <c r="K357">
        <f>VALUE(SUBSTITUTE(Table1[[#This Row],[Discount]],"%",""))/100</f>
        <v>0.05</v>
      </c>
    </row>
    <row r="358" spans="1:11" x14ac:dyDescent="0.35">
      <c r="A358">
        <v>1356</v>
      </c>
      <c r="B358" s="1">
        <v>45521</v>
      </c>
      <c r="C358" t="s">
        <v>354</v>
      </c>
      <c r="D358" t="s">
        <v>981</v>
      </c>
      <c r="E358" t="s">
        <v>993</v>
      </c>
      <c r="F358" t="s">
        <v>999</v>
      </c>
      <c r="G358">
        <v>8</v>
      </c>
      <c r="H358">
        <v>4500</v>
      </c>
      <c r="I358" t="s">
        <v>1004</v>
      </c>
      <c r="J358">
        <f>Table1[[#This Row],[Quantity]]*Table1[[#This Row],[Price]]*(1-Table1[[#This Row],[Discount]])</f>
        <v>32400</v>
      </c>
      <c r="K358">
        <f>VALUE(SUBSTITUTE(Table1[[#This Row],[Discount]],"%",""))/100</f>
        <v>0.1</v>
      </c>
    </row>
    <row r="359" spans="1:11" x14ac:dyDescent="0.35">
      <c r="A359">
        <v>1357</v>
      </c>
      <c r="B359" s="1">
        <v>45537</v>
      </c>
      <c r="C359" t="s">
        <v>355</v>
      </c>
      <c r="D359" t="s">
        <v>981</v>
      </c>
      <c r="E359" t="s">
        <v>992</v>
      </c>
      <c r="F359" t="s">
        <v>998</v>
      </c>
      <c r="G359">
        <v>5</v>
      </c>
      <c r="H359">
        <v>100</v>
      </c>
      <c r="I359" t="s">
        <v>1003</v>
      </c>
      <c r="J359">
        <f>Table1[[#This Row],[Quantity]]*Table1[[#This Row],[Price]]*(1-Table1[[#This Row],[Discount]])</f>
        <v>425</v>
      </c>
      <c r="K359">
        <f>VALUE(SUBSTITUTE(Table1[[#This Row],[Discount]],"%",""))/100</f>
        <v>0.15</v>
      </c>
    </row>
    <row r="360" spans="1:11" x14ac:dyDescent="0.35">
      <c r="A360">
        <v>1358</v>
      </c>
      <c r="B360" s="1">
        <v>45831</v>
      </c>
      <c r="C360" t="s">
        <v>356</v>
      </c>
      <c r="D360" t="s">
        <v>979</v>
      </c>
      <c r="E360" t="s">
        <v>990</v>
      </c>
      <c r="F360" t="s">
        <v>998</v>
      </c>
      <c r="G360">
        <v>4</v>
      </c>
      <c r="H360">
        <v>1000</v>
      </c>
      <c r="I360" t="s">
        <v>1002</v>
      </c>
      <c r="J360">
        <f>Table1[[#This Row],[Quantity]]*Table1[[#This Row],[Price]]*(1-Table1[[#This Row],[Discount]])</f>
        <v>3200</v>
      </c>
      <c r="K360">
        <f>VALUE(SUBSTITUTE(Table1[[#This Row],[Discount]],"%",""))/100</f>
        <v>0.2</v>
      </c>
    </row>
    <row r="361" spans="1:11" x14ac:dyDescent="0.35">
      <c r="A361">
        <v>1359</v>
      </c>
      <c r="B361" s="1">
        <v>45630</v>
      </c>
      <c r="C361" t="s">
        <v>357</v>
      </c>
      <c r="D361" t="s">
        <v>981</v>
      </c>
      <c r="E361" t="s">
        <v>993</v>
      </c>
      <c r="F361" t="s">
        <v>999</v>
      </c>
      <c r="G361">
        <v>3</v>
      </c>
      <c r="H361">
        <v>300</v>
      </c>
      <c r="I361" t="s">
        <v>1000</v>
      </c>
      <c r="J361">
        <f>Table1[[#This Row],[Quantity]]*Table1[[#This Row],[Price]]*(1-Table1[[#This Row],[Discount]])</f>
        <v>855</v>
      </c>
      <c r="K361">
        <f>VALUE(SUBSTITUTE(Table1[[#This Row],[Discount]],"%",""))/100</f>
        <v>0.05</v>
      </c>
    </row>
    <row r="362" spans="1:11" x14ac:dyDescent="0.35">
      <c r="A362">
        <v>1360</v>
      </c>
      <c r="B362" s="1">
        <v>45621</v>
      </c>
      <c r="C362" t="s">
        <v>358</v>
      </c>
      <c r="D362" t="s">
        <v>978</v>
      </c>
      <c r="E362" t="s">
        <v>985</v>
      </c>
      <c r="F362" t="s">
        <v>998</v>
      </c>
      <c r="G362">
        <v>10</v>
      </c>
      <c r="H362">
        <v>300</v>
      </c>
      <c r="I362" t="s">
        <v>1002</v>
      </c>
      <c r="J362">
        <f>Table1[[#This Row],[Quantity]]*Table1[[#This Row],[Price]]*(1-Table1[[#This Row],[Discount]])</f>
        <v>2400</v>
      </c>
      <c r="K362">
        <f>VALUE(SUBSTITUTE(Table1[[#This Row],[Discount]],"%",""))/100</f>
        <v>0.2</v>
      </c>
    </row>
    <row r="363" spans="1:11" x14ac:dyDescent="0.35">
      <c r="A363">
        <v>1361</v>
      </c>
      <c r="B363" s="1">
        <v>45732</v>
      </c>
      <c r="C363" t="s">
        <v>359</v>
      </c>
      <c r="D363" t="s">
        <v>979</v>
      </c>
      <c r="E363" t="s">
        <v>986</v>
      </c>
      <c r="F363" t="s">
        <v>997</v>
      </c>
      <c r="G363">
        <v>3</v>
      </c>
      <c r="H363">
        <v>4500</v>
      </c>
      <c r="I363" t="s">
        <v>1001</v>
      </c>
      <c r="J363">
        <f>Table1[[#This Row],[Quantity]]*Table1[[#This Row],[Price]]*(1-Table1[[#This Row],[Discount]])</f>
        <v>13500</v>
      </c>
      <c r="K363">
        <f>VALUE(SUBSTITUTE(Table1[[#This Row],[Discount]],"%",""))/100</f>
        <v>0</v>
      </c>
    </row>
    <row r="364" spans="1:11" x14ac:dyDescent="0.35">
      <c r="A364">
        <v>1362</v>
      </c>
      <c r="B364" s="1">
        <v>45750</v>
      </c>
      <c r="C364" t="s">
        <v>360</v>
      </c>
      <c r="D364" t="s">
        <v>981</v>
      </c>
      <c r="E364" t="s">
        <v>987</v>
      </c>
      <c r="F364" t="s">
        <v>999</v>
      </c>
      <c r="G364">
        <v>6</v>
      </c>
      <c r="H364">
        <v>500</v>
      </c>
      <c r="I364" t="s">
        <v>1000</v>
      </c>
      <c r="J364">
        <f>Table1[[#This Row],[Quantity]]*Table1[[#This Row],[Price]]*(1-Table1[[#This Row],[Discount]])</f>
        <v>2850</v>
      </c>
      <c r="K364">
        <f>VALUE(SUBSTITUTE(Table1[[#This Row],[Discount]],"%",""))/100</f>
        <v>0.05</v>
      </c>
    </row>
    <row r="365" spans="1:11" x14ac:dyDescent="0.35">
      <c r="A365">
        <v>1363</v>
      </c>
      <c r="B365" s="1">
        <v>45822</v>
      </c>
      <c r="C365" t="s">
        <v>361</v>
      </c>
      <c r="D365" t="s">
        <v>978</v>
      </c>
      <c r="E365" t="s">
        <v>987</v>
      </c>
      <c r="F365" t="s">
        <v>999</v>
      </c>
      <c r="G365">
        <v>1</v>
      </c>
      <c r="H365">
        <v>300</v>
      </c>
      <c r="I365" t="s">
        <v>1002</v>
      </c>
      <c r="J365">
        <f>Table1[[#This Row],[Quantity]]*Table1[[#This Row],[Price]]*(1-Table1[[#This Row],[Discount]])</f>
        <v>240</v>
      </c>
      <c r="K365">
        <f>VALUE(SUBSTITUTE(Table1[[#This Row],[Discount]],"%",""))/100</f>
        <v>0.2</v>
      </c>
    </row>
    <row r="366" spans="1:11" x14ac:dyDescent="0.35">
      <c r="A366">
        <v>1364</v>
      </c>
      <c r="B366" s="1">
        <v>45537</v>
      </c>
      <c r="C366" t="s">
        <v>362</v>
      </c>
      <c r="D366" t="s">
        <v>981</v>
      </c>
      <c r="E366" t="s">
        <v>985</v>
      </c>
      <c r="F366" t="s">
        <v>998</v>
      </c>
      <c r="G366">
        <v>7</v>
      </c>
      <c r="H366">
        <v>250</v>
      </c>
      <c r="I366" t="s">
        <v>1004</v>
      </c>
      <c r="J366">
        <f>Table1[[#This Row],[Quantity]]*Table1[[#This Row],[Price]]*(1-Table1[[#This Row],[Discount]])</f>
        <v>1575</v>
      </c>
      <c r="K366">
        <f>VALUE(SUBSTITUTE(Table1[[#This Row],[Discount]],"%",""))/100</f>
        <v>0.1</v>
      </c>
    </row>
    <row r="367" spans="1:11" x14ac:dyDescent="0.35">
      <c r="A367">
        <v>1365</v>
      </c>
      <c r="B367" s="1">
        <v>45641</v>
      </c>
      <c r="C367" t="s">
        <v>363</v>
      </c>
      <c r="D367" t="s">
        <v>981</v>
      </c>
      <c r="E367" t="s">
        <v>996</v>
      </c>
      <c r="F367" t="s">
        <v>999</v>
      </c>
      <c r="G367">
        <v>6</v>
      </c>
      <c r="H367">
        <v>300</v>
      </c>
      <c r="I367" t="s">
        <v>1002</v>
      </c>
      <c r="J367">
        <f>Table1[[#This Row],[Quantity]]*Table1[[#This Row],[Price]]*(1-Table1[[#This Row],[Discount]])</f>
        <v>1440</v>
      </c>
      <c r="K367">
        <f>VALUE(SUBSTITUTE(Table1[[#This Row],[Discount]],"%",""))/100</f>
        <v>0.2</v>
      </c>
    </row>
    <row r="368" spans="1:11" x14ac:dyDescent="0.35">
      <c r="A368">
        <v>1366</v>
      </c>
      <c r="B368" s="1">
        <v>45798</v>
      </c>
      <c r="C368" t="s">
        <v>364</v>
      </c>
      <c r="D368" t="s">
        <v>980</v>
      </c>
      <c r="E368" t="s">
        <v>993</v>
      </c>
      <c r="F368" t="s">
        <v>999</v>
      </c>
      <c r="G368">
        <v>3</v>
      </c>
      <c r="H368">
        <v>300</v>
      </c>
      <c r="I368" t="s">
        <v>1001</v>
      </c>
      <c r="J368">
        <f>Table1[[#This Row],[Quantity]]*Table1[[#This Row],[Price]]*(1-Table1[[#This Row],[Discount]])</f>
        <v>900</v>
      </c>
      <c r="K368">
        <f>VALUE(SUBSTITUTE(Table1[[#This Row],[Discount]],"%",""))/100</f>
        <v>0</v>
      </c>
    </row>
    <row r="369" spans="1:11" x14ac:dyDescent="0.35">
      <c r="A369">
        <v>1367</v>
      </c>
      <c r="B369" s="1">
        <v>45828</v>
      </c>
      <c r="C369" t="s">
        <v>365</v>
      </c>
      <c r="D369" t="s">
        <v>979</v>
      </c>
      <c r="E369" t="s">
        <v>991</v>
      </c>
      <c r="F369" t="s">
        <v>998</v>
      </c>
      <c r="G369">
        <v>6</v>
      </c>
      <c r="H369">
        <v>500</v>
      </c>
      <c r="I369" t="s">
        <v>1002</v>
      </c>
      <c r="J369">
        <f>Table1[[#This Row],[Quantity]]*Table1[[#This Row],[Price]]*(1-Table1[[#This Row],[Discount]])</f>
        <v>2400</v>
      </c>
      <c r="K369">
        <f>VALUE(SUBSTITUTE(Table1[[#This Row],[Discount]],"%",""))/100</f>
        <v>0.2</v>
      </c>
    </row>
    <row r="370" spans="1:11" x14ac:dyDescent="0.35">
      <c r="A370">
        <v>1368</v>
      </c>
      <c r="B370" s="1">
        <v>45787</v>
      </c>
      <c r="C370" t="s">
        <v>366</v>
      </c>
      <c r="D370" t="s">
        <v>981</v>
      </c>
      <c r="E370" t="s">
        <v>985</v>
      </c>
      <c r="F370" t="s">
        <v>998</v>
      </c>
      <c r="G370">
        <v>6</v>
      </c>
      <c r="H370">
        <v>300</v>
      </c>
      <c r="I370" t="s">
        <v>1001</v>
      </c>
      <c r="J370">
        <f>Table1[[#This Row],[Quantity]]*Table1[[#This Row],[Price]]*(1-Table1[[#This Row],[Discount]])</f>
        <v>1800</v>
      </c>
      <c r="K370">
        <f>VALUE(SUBSTITUTE(Table1[[#This Row],[Discount]],"%",""))/100</f>
        <v>0</v>
      </c>
    </row>
    <row r="371" spans="1:11" x14ac:dyDescent="0.35">
      <c r="A371">
        <v>1369</v>
      </c>
      <c r="B371" s="1">
        <v>45798</v>
      </c>
      <c r="C371" t="s">
        <v>367</v>
      </c>
      <c r="D371" t="s">
        <v>979</v>
      </c>
      <c r="E371" t="s">
        <v>985</v>
      </c>
      <c r="F371" t="s">
        <v>998</v>
      </c>
      <c r="G371">
        <v>5</v>
      </c>
      <c r="H371">
        <v>250</v>
      </c>
      <c r="I371" t="s">
        <v>1001</v>
      </c>
      <c r="J371">
        <f>Table1[[#This Row],[Quantity]]*Table1[[#This Row],[Price]]*(1-Table1[[#This Row],[Discount]])</f>
        <v>1250</v>
      </c>
      <c r="K371">
        <f>VALUE(SUBSTITUTE(Table1[[#This Row],[Discount]],"%",""))/100</f>
        <v>0</v>
      </c>
    </row>
    <row r="372" spans="1:11" x14ac:dyDescent="0.35">
      <c r="A372">
        <v>1370</v>
      </c>
      <c r="B372" s="1">
        <v>45571</v>
      </c>
      <c r="C372" t="s">
        <v>368</v>
      </c>
      <c r="D372" t="s">
        <v>980</v>
      </c>
      <c r="E372" t="s">
        <v>996</v>
      </c>
      <c r="F372" t="s">
        <v>999</v>
      </c>
      <c r="G372">
        <v>7</v>
      </c>
      <c r="H372">
        <v>1500</v>
      </c>
      <c r="I372" t="s">
        <v>1002</v>
      </c>
      <c r="J372">
        <f>Table1[[#This Row],[Quantity]]*Table1[[#This Row],[Price]]*(1-Table1[[#This Row],[Discount]])</f>
        <v>8400</v>
      </c>
      <c r="K372">
        <f>VALUE(SUBSTITUTE(Table1[[#This Row],[Discount]],"%",""))/100</f>
        <v>0.2</v>
      </c>
    </row>
    <row r="373" spans="1:11" x14ac:dyDescent="0.35">
      <c r="A373">
        <v>1371</v>
      </c>
      <c r="B373" s="1">
        <v>45565</v>
      </c>
      <c r="C373" t="s">
        <v>369</v>
      </c>
      <c r="D373" t="s">
        <v>979</v>
      </c>
      <c r="E373" t="s">
        <v>983</v>
      </c>
      <c r="F373" t="s">
        <v>997</v>
      </c>
      <c r="G373">
        <v>3</v>
      </c>
      <c r="H373">
        <v>4500</v>
      </c>
      <c r="I373" t="s">
        <v>1001</v>
      </c>
      <c r="J373">
        <f>Table1[[#This Row],[Quantity]]*Table1[[#This Row],[Price]]*(1-Table1[[#This Row],[Discount]])</f>
        <v>13500</v>
      </c>
      <c r="K373">
        <f>VALUE(SUBSTITUTE(Table1[[#This Row],[Discount]],"%",""))/100</f>
        <v>0</v>
      </c>
    </row>
    <row r="374" spans="1:11" x14ac:dyDescent="0.35">
      <c r="A374">
        <v>1372</v>
      </c>
      <c r="B374" s="1">
        <v>45780</v>
      </c>
      <c r="C374" t="s">
        <v>370</v>
      </c>
      <c r="D374" t="s">
        <v>979</v>
      </c>
      <c r="E374" t="s">
        <v>985</v>
      </c>
      <c r="F374" t="s">
        <v>998</v>
      </c>
      <c r="G374">
        <v>3</v>
      </c>
      <c r="H374">
        <v>2500</v>
      </c>
      <c r="I374" t="s">
        <v>1000</v>
      </c>
      <c r="J374">
        <f>Table1[[#This Row],[Quantity]]*Table1[[#This Row],[Price]]*(1-Table1[[#This Row],[Discount]])</f>
        <v>7125</v>
      </c>
      <c r="K374">
        <f>VALUE(SUBSTITUTE(Table1[[#This Row],[Discount]],"%",""))/100</f>
        <v>0.05</v>
      </c>
    </row>
    <row r="375" spans="1:11" x14ac:dyDescent="0.35">
      <c r="A375">
        <v>1373</v>
      </c>
      <c r="B375" s="1">
        <v>45791</v>
      </c>
      <c r="C375" t="s">
        <v>45</v>
      </c>
      <c r="D375" t="s">
        <v>978</v>
      </c>
      <c r="E375" t="s">
        <v>995</v>
      </c>
      <c r="F375" t="s">
        <v>997</v>
      </c>
      <c r="G375">
        <v>8</v>
      </c>
      <c r="H375">
        <v>100</v>
      </c>
      <c r="I375" t="s">
        <v>1003</v>
      </c>
      <c r="J375">
        <f>Table1[[#This Row],[Quantity]]*Table1[[#This Row],[Price]]*(1-Table1[[#This Row],[Discount]])</f>
        <v>680</v>
      </c>
      <c r="K375">
        <f>VALUE(SUBSTITUTE(Table1[[#This Row],[Discount]],"%",""))/100</f>
        <v>0.15</v>
      </c>
    </row>
    <row r="376" spans="1:11" x14ac:dyDescent="0.35">
      <c r="A376">
        <v>1374</v>
      </c>
      <c r="B376" s="1">
        <v>45815</v>
      </c>
      <c r="C376" t="s">
        <v>371</v>
      </c>
      <c r="D376" t="s">
        <v>981</v>
      </c>
      <c r="E376" t="s">
        <v>988</v>
      </c>
      <c r="F376" t="s">
        <v>999</v>
      </c>
      <c r="G376">
        <v>4</v>
      </c>
      <c r="H376">
        <v>2500</v>
      </c>
      <c r="I376" t="s">
        <v>1002</v>
      </c>
      <c r="J376">
        <f>Table1[[#This Row],[Quantity]]*Table1[[#This Row],[Price]]*(1-Table1[[#This Row],[Discount]])</f>
        <v>8000</v>
      </c>
      <c r="K376">
        <f>VALUE(SUBSTITUTE(Table1[[#This Row],[Discount]],"%",""))/100</f>
        <v>0.2</v>
      </c>
    </row>
    <row r="377" spans="1:11" x14ac:dyDescent="0.35">
      <c r="A377">
        <v>1375</v>
      </c>
      <c r="B377" s="1">
        <v>45764</v>
      </c>
      <c r="C377" t="s">
        <v>372</v>
      </c>
      <c r="D377" t="s">
        <v>979</v>
      </c>
      <c r="E377" t="s">
        <v>989</v>
      </c>
      <c r="F377" t="s">
        <v>999</v>
      </c>
      <c r="G377">
        <v>9</v>
      </c>
      <c r="H377">
        <v>4500</v>
      </c>
      <c r="I377" t="s">
        <v>1000</v>
      </c>
      <c r="J377">
        <f>Table1[[#This Row],[Quantity]]*Table1[[#This Row],[Price]]*(1-Table1[[#This Row],[Discount]])</f>
        <v>38475</v>
      </c>
      <c r="K377">
        <f>VALUE(SUBSTITUTE(Table1[[#This Row],[Discount]],"%",""))/100</f>
        <v>0.05</v>
      </c>
    </row>
    <row r="378" spans="1:11" x14ac:dyDescent="0.35">
      <c r="A378">
        <v>1376</v>
      </c>
      <c r="B378" s="1">
        <v>45610</v>
      </c>
      <c r="C378" t="s">
        <v>373</v>
      </c>
      <c r="D378" t="s">
        <v>979</v>
      </c>
      <c r="E378" t="s">
        <v>995</v>
      </c>
      <c r="F378" t="s">
        <v>997</v>
      </c>
      <c r="G378">
        <v>8</v>
      </c>
      <c r="H378">
        <v>500</v>
      </c>
      <c r="I378" t="s">
        <v>1001</v>
      </c>
      <c r="J378">
        <f>Table1[[#This Row],[Quantity]]*Table1[[#This Row],[Price]]*(1-Table1[[#This Row],[Discount]])</f>
        <v>4000</v>
      </c>
      <c r="K378">
        <f>VALUE(SUBSTITUTE(Table1[[#This Row],[Discount]],"%",""))/100</f>
        <v>0</v>
      </c>
    </row>
    <row r="379" spans="1:11" x14ac:dyDescent="0.35">
      <c r="A379">
        <v>1377</v>
      </c>
      <c r="B379" s="1">
        <v>45563</v>
      </c>
      <c r="C379" t="s">
        <v>374</v>
      </c>
      <c r="D379" t="s">
        <v>980</v>
      </c>
      <c r="E379" t="s">
        <v>987</v>
      </c>
      <c r="F379" t="s">
        <v>999</v>
      </c>
      <c r="G379">
        <v>5</v>
      </c>
      <c r="H379">
        <v>2500</v>
      </c>
      <c r="I379" t="s">
        <v>1003</v>
      </c>
      <c r="J379">
        <f>Table1[[#This Row],[Quantity]]*Table1[[#This Row],[Price]]*(1-Table1[[#This Row],[Discount]])</f>
        <v>10625</v>
      </c>
      <c r="K379">
        <f>VALUE(SUBSTITUTE(Table1[[#This Row],[Discount]],"%",""))/100</f>
        <v>0.15</v>
      </c>
    </row>
    <row r="380" spans="1:11" x14ac:dyDescent="0.35">
      <c r="A380">
        <v>1378</v>
      </c>
      <c r="B380" s="1">
        <v>45598</v>
      </c>
      <c r="C380" t="s">
        <v>375</v>
      </c>
      <c r="D380" t="s">
        <v>978</v>
      </c>
      <c r="E380" t="s">
        <v>988</v>
      </c>
      <c r="F380" t="s">
        <v>999</v>
      </c>
      <c r="G380">
        <v>6</v>
      </c>
      <c r="H380">
        <v>2500</v>
      </c>
      <c r="I380" t="s">
        <v>1004</v>
      </c>
      <c r="J380">
        <f>Table1[[#This Row],[Quantity]]*Table1[[#This Row],[Price]]*(1-Table1[[#This Row],[Discount]])</f>
        <v>13500</v>
      </c>
      <c r="K380">
        <f>VALUE(SUBSTITUTE(Table1[[#This Row],[Discount]],"%",""))/100</f>
        <v>0.1</v>
      </c>
    </row>
    <row r="381" spans="1:11" x14ac:dyDescent="0.35">
      <c r="A381">
        <v>1379</v>
      </c>
      <c r="B381" s="1">
        <v>45863</v>
      </c>
      <c r="C381" t="s">
        <v>376</v>
      </c>
      <c r="D381" t="s">
        <v>979</v>
      </c>
      <c r="E381" t="s">
        <v>985</v>
      </c>
      <c r="F381" t="s">
        <v>998</v>
      </c>
      <c r="G381">
        <v>10</v>
      </c>
      <c r="H381">
        <v>100</v>
      </c>
      <c r="I381" t="s">
        <v>1000</v>
      </c>
      <c r="J381">
        <f>Table1[[#This Row],[Quantity]]*Table1[[#This Row],[Price]]*(1-Table1[[#This Row],[Discount]])</f>
        <v>950</v>
      </c>
      <c r="K381">
        <f>VALUE(SUBSTITUTE(Table1[[#This Row],[Discount]],"%",""))/100</f>
        <v>0.05</v>
      </c>
    </row>
    <row r="382" spans="1:11" x14ac:dyDescent="0.35">
      <c r="A382">
        <v>1380</v>
      </c>
      <c r="B382" s="1">
        <v>45611</v>
      </c>
      <c r="C382" t="s">
        <v>377</v>
      </c>
      <c r="D382" t="s">
        <v>980</v>
      </c>
      <c r="E382" t="s">
        <v>983</v>
      </c>
      <c r="F382" t="s">
        <v>997</v>
      </c>
      <c r="G382">
        <v>9</v>
      </c>
      <c r="H382">
        <v>100</v>
      </c>
      <c r="I382" t="s">
        <v>1003</v>
      </c>
      <c r="J382">
        <f>Table1[[#This Row],[Quantity]]*Table1[[#This Row],[Price]]*(1-Table1[[#This Row],[Discount]])</f>
        <v>765</v>
      </c>
      <c r="K382">
        <f>VALUE(SUBSTITUTE(Table1[[#This Row],[Discount]],"%",""))/100</f>
        <v>0.15</v>
      </c>
    </row>
    <row r="383" spans="1:11" x14ac:dyDescent="0.35">
      <c r="A383">
        <v>1381</v>
      </c>
      <c r="B383" s="1">
        <v>45700</v>
      </c>
      <c r="C383" t="s">
        <v>378</v>
      </c>
      <c r="D383" t="s">
        <v>980</v>
      </c>
      <c r="E383" t="s">
        <v>983</v>
      </c>
      <c r="F383" t="s">
        <v>997</v>
      </c>
      <c r="G383">
        <v>8</v>
      </c>
      <c r="H383">
        <v>1000</v>
      </c>
      <c r="I383" t="s">
        <v>1001</v>
      </c>
      <c r="J383">
        <f>Table1[[#This Row],[Quantity]]*Table1[[#This Row],[Price]]*(1-Table1[[#This Row],[Discount]])</f>
        <v>8000</v>
      </c>
      <c r="K383">
        <f>VALUE(SUBSTITUTE(Table1[[#This Row],[Discount]],"%",""))/100</f>
        <v>0</v>
      </c>
    </row>
    <row r="384" spans="1:11" x14ac:dyDescent="0.35">
      <c r="A384">
        <v>1382</v>
      </c>
      <c r="B384" s="1">
        <v>45587</v>
      </c>
      <c r="C384" t="s">
        <v>379</v>
      </c>
      <c r="D384" t="s">
        <v>980</v>
      </c>
      <c r="E384" t="s">
        <v>995</v>
      </c>
      <c r="F384" t="s">
        <v>997</v>
      </c>
      <c r="G384">
        <v>10</v>
      </c>
      <c r="H384">
        <v>300</v>
      </c>
      <c r="I384" t="s">
        <v>1001</v>
      </c>
      <c r="J384">
        <f>Table1[[#This Row],[Quantity]]*Table1[[#This Row],[Price]]*(1-Table1[[#This Row],[Discount]])</f>
        <v>3000</v>
      </c>
      <c r="K384">
        <f>VALUE(SUBSTITUTE(Table1[[#This Row],[Discount]],"%",""))/100</f>
        <v>0</v>
      </c>
    </row>
    <row r="385" spans="1:11" x14ac:dyDescent="0.35">
      <c r="A385">
        <v>1383</v>
      </c>
      <c r="B385" s="1">
        <v>45662</v>
      </c>
      <c r="C385" t="s">
        <v>380</v>
      </c>
      <c r="D385" t="s">
        <v>980</v>
      </c>
      <c r="E385" t="s">
        <v>990</v>
      </c>
      <c r="F385" t="s">
        <v>998</v>
      </c>
      <c r="G385">
        <v>1</v>
      </c>
      <c r="H385">
        <v>2500</v>
      </c>
      <c r="I385" t="s">
        <v>1001</v>
      </c>
      <c r="J385">
        <f>Table1[[#This Row],[Quantity]]*Table1[[#This Row],[Price]]*(1-Table1[[#This Row],[Discount]])</f>
        <v>2500</v>
      </c>
      <c r="K385">
        <f>VALUE(SUBSTITUTE(Table1[[#This Row],[Discount]],"%",""))/100</f>
        <v>0</v>
      </c>
    </row>
    <row r="386" spans="1:11" x14ac:dyDescent="0.35">
      <c r="A386">
        <v>1384</v>
      </c>
      <c r="B386" s="1">
        <v>45532</v>
      </c>
      <c r="C386" t="s">
        <v>381</v>
      </c>
      <c r="D386" t="s">
        <v>980</v>
      </c>
      <c r="E386" t="s">
        <v>986</v>
      </c>
      <c r="F386" t="s">
        <v>997</v>
      </c>
      <c r="G386">
        <v>6</v>
      </c>
      <c r="H386">
        <v>250</v>
      </c>
      <c r="I386" t="s">
        <v>1001</v>
      </c>
      <c r="J386">
        <f>Table1[[#This Row],[Quantity]]*Table1[[#This Row],[Price]]*(1-Table1[[#This Row],[Discount]])</f>
        <v>1500</v>
      </c>
      <c r="K386">
        <f>VALUE(SUBSTITUTE(Table1[[#This Row],[Discount]],"%",""))/100</f>
        <v>0</v>
      </c>
    </row>
    <row r="387" spans="1:11" x14ac:dyDescent="0.35">
      <c r="A387">
        <v>1385</v>
      </c>
      <c r="B387" s="1">
        <v>45826</v>
      </c>
      <c r="C387" t="s">
        <v>382</v>
      </c>
      <c r="D387" t="s">
        <v>980</v>
      </c>
      <c r="E387" t="s">
        <v>994</v>
      </c>
      <c r="F387" t="s">
        <v>997</v>
      </c>
      <c r="G387">
        <v>1</v>
      </c>
      <c r="H387">
        <v>2500</v>
      </c>
      <c r="I387" t="s">
        <v>1001</v>
      </c>
      <c r="J387">
        <f>Table1[[#This Row],[Quantity]]*Table1[[#This Row],[Price]]*(1-Table1[[#This Row],[Discount]])</f>
        <v>2500</v>
      </c>
      <c r="K387">
        <f>VALUE(SUBSTITUTE(Table1[[#This Row],[Discount]],"%",""))/100</f>
        <v>0</v>
      </c>
    </row>
    <row r="388" spans="1:11" x14ac:dyDescent="0.35">
      <c r="A388">
        <v>1386</v>
      </c>
      <c r="B388" s="1">
        <v>45515</v>
      </c>
      <c r="C388" t="s">
        <v>383</v>
      </c>
      <c r="D388" t="s">
        <v>981</v>
      </c>
      <c r="E388" t="s">
        <v>992</v>
      </c>
      <c r="F388" t="s">
        <v>998</v>
      </c>
      <c r="G388">
        <v>10</v>
      </c>
      <c r="H388">
        <v>250</v>
      </c>
      <c r="I388" t="s">
        <v>1004</v>
      </c>
      <c r="J388">
        <f>Table1[[#This Row],[Quantity]]*Table1[[#This Row],[Price]]*(1-Table1[[#This Row],[Discount]])</f>
        <v>2250</v>
      </c>
      <c r="K388">
        <f>VALUE(SUBSTITUTE(Table1[[#This Row],[Discount]],"%",""))/100</f>
        <v>0.1</v>
      </c>
    </row>
    <row r="389" spans="1:11" x14ac:dyDescent="0.35">
      <c r="A389">
        <v>1387</v>
      </c>
      <c r="B389" s="1">
        <v>45554</v>
      </c>
      <c r="C389" t="s">
        <v>384</v>
      </c>
      <c r="D389" t="s">
        <v>981</v>
      </c>
      <c r="E389" t="s">
        <v>995</v>
      </c>
      <c r="F389" t="s">
        <v>997</v>
      </c>
      <c r="G389">
        <v>8</v>
      </c>
      <c r="H389">
        <v>100</v>
      </c>
      <c r="I389" t="s">
        <v>1000</v>
      </c>
      <c r="J389">
        <f>Table1[[#This Row],[Quantity]]*Table1[[#This Row],[Price]]*(1-Table1[[#This Row],[Discount]])</f>
        <v>760</v>
      </c>
      <c r="K389">
        <f>VALUE(SUBSTITUTE(Table1[[#This Row],[Discount]],"%",""))/100</f>
        <v>0.05</v>
      </c>
    </row>
    <row r="390" spans="1:11" x14ac:dyDescent="0.35">
      <c r="A390">
        <v>1388</v>
      </c>
      <c r="B390" s="1">
        <v>45852</v>
      </c>
      <c r="C390" t="s">
        <v>385</v>
      </c>
      <c r="D390" t="s">
        <v>979</v>
      </c>
      <c r="E390" t="s">
        <v>987</v>
      </c>
      <c r="F390" t="s">
        <v>999</v>
      </c>
      <c r="G390">
        <v>7</v>
      </c>
      <c r="H390">
        <v>1500</v>
      </c>
      <c r="I390" t="s">
        <v>1000</v>
      </c>
      <c r="J390">
        <f>Table1[[#This Row],[Quantity]]*Table1[[#This Row],[Price]]*(1-Table1[[#This Row],[Discount]])</f>
        <v>9975</v>
      </c>
      <c r="K390">
        <f>VALUE(SUBSTITUTE(Table1[[#This Row],[Discount]],"%",""))/100</f>
        <v>0.05</v>
      </c>
    </row>
    <row r="391" spans="1:11" x14ac:dyDescent="0.35">
      <c r="A391">
        <v>1389</v>
      </c>
      <c r="B391" s="1">
        <v>45714</v>
      </c>
      <c r="C391" t="s">
        <v>386</v>
      </c>
      <c r="D391" t="s">
        <v>980</v>
      </c>
      <c r="E391" t="s">
        <v>985</v>
      </c>
      <c r="F391" t="s">
        <v>998</v>
      </c>
      <c r="G391">
        <v>5</v>
      </c>
      <c r="H391">
        <v>1000</v>
      </c>
      <c r="I391" t="s">
        <v>1004</v>
      </c>
      <c r="J391">
        <f>Table1[[#This Row],[Quantity]]*Table1[[#This Row],[Price]]*(1-Table1[[#This Row],[Discount]])</f>
        <v>4500</v>
      </c>
      <c r="K391">
        <f>VALUE(SUBSTITUTE(Table1[[#This Row],[Discount]],"%",""))/100</f>
        <v>0.1</v>
      </c>
    </row>
    <row r="392" spans="1:11" x14ac:dyDescent="0.35">
      <c r="A392">
        <v>1390</v>
      </c>
      <c r="B392" s="1">
        <v>45802</v>
      </c>
      <c r="C392" t="s">
        <v>387</v>
      </c>
      <c r="D392" t="s">
        <v>981</v>
      </c>
      <c r="E392" t="s">
        <v>990</v>
      </c>
      <c r="F392" t="s">
        <v>998</v>
      </c>
      <c r="G392">
        <v>5</v>
      </c>
      <c r="H392">
        <v>4500</v>
      </c>
      <c r="I392" t="s">
        <v>1004</v>
      </c>
      <c r="J392">
        <f>Table1[[#This Row],[Quantity]]*Table1[[#This Row],[Price]]*(1-Table1[[#This Row],[Discount]])</f>
        <v>20250</v>
      </c>
      <c r="K392">
        <f>VALUE(SUBSTITUTE(Table1[[#This Row],[Discount]],"%",""))/100</f>
        <v>0.1</v>
      </c>
    </row>
    <row r="393" spans="1:11" x14ac:dyDescent="0.35">
      <c r="A393">
        <v>1391</v>
      </c>
      <c r="B393" s="1">
        <v>45664</v>
      </c>
      <c r="C393" t="s">
        <v>388</v>
      </c>
      <c r="D393" t="s">
        <v>981</v>
      </c>
      <c r="E393" t="s">
        <v>988</v>
      </c>
      <c r="F393" t="s">
        <v>999</v>
      </c>
      <c r="G393">
        <v>7</v>
      </c>
      <c r="H393">
        <v>4500</v>
      </c>
      <c r="I393" t="s">
        <v>1002</v>
      </c>
      <c r="J393">
        <f>Table1[[#This Row],[Quantity]]*Table1[[#This Row],[Price]]*(1-Table1[[#This Row],[Discount]])</f>
        <v>25200</v>
      </c>
      <c r="K393">
        <f>VALUE(SUBSTITUTE(Table1[[#This Row],[Discount]],"%",""))/100</f>
        <v>0.2</v>
      </c>
    </row>
    <row r="394" spans="1:11" x14ac:dyDescent="0.35">
      <c r="A394">
        <v>1392</v>
      </c>
      <c r="B394" s="1">
        <v>45825</v>
      </c>
      <c r="C394" t="s">
        <v>389</v>
      </c>
      <c r="D394" t="s">
        <v>979</v>
      </c>
      <c r="E394" t="s">
        <v>989</v>
      </c>
      <c r="F394" t="s">
        <v>999</v>
      </c>
      <c r="G394">
        <v>7</v>
      </c>
      <c r="H394">
        <v>300</v>
      </c>
      <c r="I394" t="s">
        <v>1002</v>
      </c>
      <c r="J394">
        <f>Table1[[#This Row],[Quantity]]*Table1[[#This Row],[Price]]*(1-Table1[[#This Row],[Discount]])</f>
        <v>1680</v>
      </c>
      <c r="K394">
        <f>VALUE(SUBSTITUTE(Table1[[#This Row],[Discount]],"%",""))/100</f>
        <v>0.2</v>
      </c>
    </row>
    <row r="395" spans="1:11" x14ac:dyDescent="0.35">
      <c r="A395">
        <v>1393</v>
      </c>
      <c r="B395" s="1">
        <v>45701</v>
      </c>
      <c r="C395" t="s">
        <v>390</v>
      </c>
      <c r="D395" t="s">
        <v>981</v>
      </c>
      <c r="E395" t="s">
        <v>990</v>
      </c>
      <c r="F395" t="s">
        <v>998</v>
      </c>
      <c r="G395">
        <v>1</v>
      </c>
      <c r="H395">
        <v>4500</v>
      </c>
      <c r="I395" t="s">
        <v>1001</v>
      </c>
      <c r="J395">
        <f>Table1[[#This Row],[Quantity]]*Table1[[#This Row],[Price]]*(1-Table1[[#This Row],[Discount]])</f>
        <v>4500</v>
      </c>
      <c r="K395">
        <f>VALUE(SUBSTITUTE(Table1[[#This Row],[Discount]],"%",""))/100</f>
        <v>0</v>
      </c>
    </row>
    <row r="396" spans="1:11" x14ac:dyDescent="0.35">
      <c r="A396">
        <v>1394</v>
      </c>
      <c r="B396" s="1">
        <v>45501</v>
      </c>
      <c r="C396" t="s">
        <v>391</v>
      </c>
      <c r="D396" t="s">
        <v>981</v>
      </c>
      <c r="E396" t="s">
        <v>994</v>
      </c>
      <c r="F396" t="s">
        <v>997</v>
      </c>
      <c r="G396">
        <v>2</v>
      </c>
      <c r="H396">
        <v>100</v>
      </c>
      <c r="I396" t="s">
        <v>1000</v>
      </c>
      <c r="J396">
        <f>Table1[[#This Row],[Quantity]]*Table1[[#This Row],[Price]]*(1-Table1[[#This Row],[Discount]])</f>
        <v>190</v>
      </c>
      <c r="K396">
        <f>VALUE(SUBSTITUTE(Table1[[#This Row],[Discount]],"%",""))/100</f>
        <v>0.05</v>
      </c>
    </row>
    <row r="397" spans="1:11" x14ac:dyDescent="0.35">
      <c r="A397">
        <v>1395</v>
      </c>
      <c r="B397" s="1">
        <v>45759</v>
      </c>
      <c r="C397" t="s">
        <v>392</v>
      </c>
      <c r="D397" t="s">
        <v>978</v>
      </c>
      <c r="E397" t="s">
        <v>989</v>
      </c>
      <c r="F397" t="s">
        <v>999</v>
      </c>
      <c r="G397">
        <v>9</v>
      </c>
      <c r="H397">
        <v>1500</v>
      </c>
      <c r="I397" t="s">
        <v>1004</v>
      </c>
      <c r="J397">
        <f>Table1[[#This Row],[Quantity]]*Table1[[#This Row],[Price]]*(1-Table1[[#This Row],[Discount]])</f>
        <v>12150</v>
      </c>
      <c r="K397">
        <f>VALUE(SUBSTITUTE(Table1[[#This Row],[Discount]],"%",""))/100</f>
        <v>0.1</v>
      </c>
    </row>
    <row r="398" spans="1:11" x14ac:dyDescent="0.35">
      <c r="A398">
        <v>1396</v>
      </c>
      <c r="B398" s="1">
        <v>45705</v>
      </c>
      <c r="C398" t="s">
        <v>393</v>
      </c>
      <c r="D398" t="s">
        <v>978</v>
      </c>
      <c r="E398" t="s">
        <v>985</v>
      </c>
      <c r="F398" t="s">
        <v>998</v>
      </c>
      <c r="G398">
        <v>1</v>
      </c>
      <c r="H398">
        <v>2500</v>
      </c>
      <c r="I398" t="s">
        <v>1001</v>
      </c>
      <c r="J398">
        <f>Table1[[#This Row],[Quantity]]*Table1[[#This Row],[Price]]*(1-Table1[[#This Row],[Discount]])</f>
        <v>2500</v>
      </c>
      <c r="K398">
        <f>VALUE(SUBSTITUTE(Table1[[#This Row],[Discount]],"%",""))/100</f>
        <v>0</v>
      </c>
    </row>
    <row r="399" spans="1:11" x14ac:dyDescent="0.35">
      <c r="A399">
        <v>1397</v>
      </c>
      <c r="B399" s="1">
        <v>45508</v>
      </c>
      <c r="C399" t="s">
        <v>394</v>
      </c>
      <c r="D399" t="s">
        <v>979</v>
      </c>
      <c r="E399" t="s">
        <v>990</v>
      </c>
      <c r="F399" t="s">
        <v>998</v>
      </c>
      <c r="G399">
        <v>4</v>
      </c>
      <c r="H399">
        <v>1000</v>
      </c>
      <c r="I399" t="s">
        <v>1003</v>
      </c>
      <c r="J399">
        <f>Table1[[#This Row],[Quantity]]*Table1[[#This Row],[Price]]*(1-Table1[[#This Row],[Discount]])</f>
        <v>3400</v>
      </c>
      <c r="K399">
        <f>VALUE(SUBSTITUTE(Table1[[#This Row],[Discount]],"%",""))/100</f>
        <v>0.15</v>
      </c>
    </row>
    <row r="400" spans="1:11" x14ac:dyDescent="0.35">
      <c r="A400">
        <v>1398</v>
      </c>
      <c r="B400" s="1">
        <v>45645</v>
      </c>
      <c r="C400" t="s">
        <v>395</v>
      </c>
      <c r="D400" t="s">
        <v>981</v>
      </c>
      <c r="E400" t="s">
        <v>988</v>
      </c>
      <c r="F400" t="s">
        <v>999</v>
      </c>
      <c r="G400">
        <v>3</v>
      </c>
      <c r="H400">
        <v>100</v>
      </c>
      <c r="I400" t="s">
        <v>1000</v>
      </c>
      <c r="J400">
        <f>Table1[[#This Row],[Quantity]]*Table1[[#This Row],[Price]]*(1-Table1[[#This Row],[Discount]])</f>
        <v>285</v>
      </c>
      <c r="K400">
        <f>VALUE(SUBSTITUTE(Table1[[#This Row],[Discount]],"%",""))/100</f>
        <v>0.05</v>
      </c>
    </row>
    <row r="401" spans="1:11" x14ac:dyDescent="0.35">
      <c r="A401">
        <v>1399</v>
      </c>
      <c r="B401" s="1">
        <v>45634</v>
      </c>
      <c r="C401" t="s">
        <v>396</v>
      </c>
      <c r="D401" t="s">
        <v>980</v>
      </c>
      <c r="E401" t="s">
        <v>986</v>
      </c>
      <c r="F401" t="s">
        <v>997</v>
      </c>
      <c r="G401">
        <v>7</v>
      </c>
      <c r="H401">
        <v>2500</v>
      </c>
      <c r="I401" t="s">
        <v>1004</v>
      </c>
      <c r="J401">
        <f>Table1[[#This Row],[Quantity]]*Table1[[#This Row],[Price]]*(1-Table1[[#This Row],[Discount]])</f>
        <v>15750</v>
      </c>
      <c r="K401">
        <f>VALUE(SUBSTITUTE(Table1[[#This Row],[Discount]],"%",""))/100</f>
        <v>0.1</v>
      </c>
    </row>
    <row r="402" spans="1:11" x14ac:dyDescent="0.35">
      <c r="A402">
        <v>1400</v>
      </c>
      <c r="B402" s="1">
        <v>45726</v>
      </c>
      <c r="C402" t="s">
        <v>397</v>
      </c>
      <c r="D402" t="s">
        <v>981</v>
      </c>
      <c r="E402" t="s">
        <v>994</v>
      </c>
      <c r="F402" t="s">
        <v>997</v>
      </c>
      <c r="G402">
        <v>10</v>
      </c>
      <c r="H402">
        <v>250</v>
      </c>
      <c r="I402" t="s">
        <v>1001</v>
      </c>
      <c r="J402">
        <f>Table1[[#This Row],[Quantity]]*Table1[[#This Row],[Price]]*(1-Table1[[#This Row],[Discount]])</f>
        <v>2500</v>
      </c>
      <c r="K402">
        <f>VALUE(SUBSTITUTE(Table1[[#This Row],[Discount]],"%",""))/100</f>
        <v>0</v>
      </c>
    </row>
    <row r="403" spans="1:11" x14ac:dyDescent="0.35">
      <c r="A403">
        <v>1401</v>
      </c>
      <c r="B403" s="1">
        <v>45713</v>
      </c>
      <c r="C403" t="s">
        <v>398</v>
      </c>
      <c r="D403" t="s">
        <v>981</v>
      </c>
      <c r="E403" t="s">
        <v>982</v>
      </c>
      <c r="F403" t="s">
        <v>997</v>
      </c>
      <c r="G403">
        <v>8</v>
      </c>
      <c r="H403">
        <v>250</v>
      </c>
      <c r="I403" t="s">
        <v>1004</v>
      </c>
      <c r="J403">
        <f>Table1[[#This Row],[Quantity]]*Table1[[#This Row],[Price]]*(1-Table1[[#This Row],[Discount]])</f>
        <v>1800</v>
      </c>
      <c r="K403">
        <f>VALUE(SUBSTITUTE(Table1[[#This Row],[Discount]],"%",""))/100</f>
        <v>0.1</v>
      </c>
    </row>
    <row r="404" spans="1:11" x14ac:dyDescent="0.35">
      <c r="A404">
        <v>1402</v>
      </c>
      <c r="B404" s="1">
        <v>45766</v>
      </c>
      <c r="C404" t="s">
        <v>399</v>
      </c>
      <c r="D404" t="s">
        <v>978</v>
      </c>
      <c r="E404" t="s">
        <v>986</v>
      </c>
      <c r="F404" t="s">
        <v>997</v>
      </c>
      <c r="G404">
        <v>4</v>
      </c>
      <c r="H404">
        <v>300</v>
      </c>
      <c r="I404" t="s">
        <v>1002</v>
      </c>
      <c r="J404">
        <f>Table1[[#This Row],[Quantity]]*Table1[[#This Row],[Price]]*(1-Table1[[#This Row],[Discount]])</f>
        <v>960</v>
      </c>
      <c r="K404">
        <f>VALUE(SUBSTITUTE(Table1[[#This Row],[Discount]],"%",""))/100</f>
        <v>0.2</v>
      </c>
    </row>
    <row r="405" spans="1:11" x14ac:dyDescent="0.35">
      <c r="A405">
        <v>1403</v>
      </c>
      <c r="B405" s="1">
        <v>45816</v>
      </c>
      <c r="C405" t="s">
        <v>400</v>
      </c>
      <c r="D405" t="s">
        <v>980</v>
      </c>
      <c r="E405" t="s">
        <v>994</v>
      </c>
      <c r="F405" t="s">
        <v>997</v>
      </c>
      <c r="G405">
        <v>6</v>
      </c>
      <c r="H405">
        <v>300</v>
      </c>
      <c r="I405" t="s">
        <v>1001</v>
      </c>
      <c r="J405">
        <f>Table1[[#This Row],[Quantity]]*Table1[[#This Row],[Price]]*(1-Table1[[#This Row],[Discount]])</f>
        <v>1800</v>
      </c>
      <c r="K405">
        <f>VALUE(SUBSTITUTE(Table1[[#This Row],[Discount]],"%",""))/100</f>
        <v>0</v>
      </c>
    </row>
    <row r="406" spans="1:11" x14ac:dyDescent="0.35">
      <c r="A406">
        <v>1404</v>
      </c>
      <c r="B406" s="1">
        <v>45515</v>
      </c>
      <c r="C406" t="s">
        <v>401</v>
      </c>
      <c r="D406" t="s">
        <v>978</v>
      </c>
      <c r="E406" t="s">
        <v>987</v>
      </c>
      <c r="F406" t="s">
        <v>999</v>
      </c>
      <c r="G406">
        <v>10</v>
      </c>
      <c r="H406">
        <v>500</v>
      </c>
      <c r="I406" t="s">
        <v>1004</v>
      </c>
      <c r="J406">
        <f>Table1[[#This Row],[Quantity]]*Table1[[#This Row],[Price]]*(1-Table1[[#This Row],[Discount]])</f>
        <v>4500</v>
      </c>
      <c r="K406">
        <f>VALUE(SUBSTITUTE(Table1[[#This Row],[Discount]],"%",""))/100</f>
        <v>0.1</v>
      </c>
    </row>
    <row r="407" spans="1:11" x14ac:dyDescent="0.35">
      <c r="A407">
        <v>1405</v>
      </c>
      <c r="B407" s="1">
        <v>45517</v>
      </c>
      <c r="C407" t="s">
        <v>402</v>
      </c>
      <c r="D407" t="s">
        <v>978</v>
      </c>
      <c r="E407" t="s">
        <v>986</v>
      </c>
      <c r="F407" t="s">
        <v>997</v>
      </c>
      <c r="G407">
        <v>9</v>
      </c>
      <c r="H407">
        <v>1000</v>
      </c>
      <c r="I407" t="s">
        <v>1000</v>
      </c>
      <c r="J407">
        <f>Table1[[#This Row],[Quantity]]*Table1[[#This Row],[Price]]*(1-Table1[[#This Row],[Discount]])</f>
        <v>8550</v>
      </c>
      <c r="K407">
        <f>VALUE(SUBSTITUTE(Table1[[#This Row],[Discount]],"%",""))/100</f>
        <v>0.05</v>
      </c>
    </row>
    <row r="408" spans="1:11" x14ac:dyDescent="0.35">
      <c r="A408">
        <v>1406</v>
      </c>
      <c r="B408" s="1">
        <v>45817</v>
      </c>
      <c r="C408" t="s">
        <v>403</v>
      </c>
      <c r="D408" t="s">
        <v>978</v>
      </c>
      <c r="E408" t="s">
        <v>995</v>
      </c>
      <c r="F408" t="s">
        <v>997</v>
      </c>
      <c r="G408">
        <v>3</v>
      </c>
      <c r="H408">
        <v>1500</v>
      </c>
      <c r="I408" t="s">
        <v>1001</v>
      </c>
      <c r="J408">
        <f>Table1[[#This Row],[Quantity]]*Table1[[#This Row],[Price]]*(1-Table1[[#This Row],[Discount]])</f>
        <v>4500</v>
      </c>
      <c r="K408">
        <f>VALUE(SUBSTITUTE(Table1[[#This Row],[Discount]],"%",""))/100</f>
        <v>0</v>
      </c>
    </row>
    <row r="409" spans="1:11" x14ac:dyDescent="0.35">
      <c r="A409">
        <v>1407</v>
      </c>
      <c r="B409" s="1">
        <v>45575</v>
      </c>
      <c r="C409" t="s">
        <v>327</v>
      </c>
      <c r="D409" t="s">
        <v>979</v>
      </c>
      <c r="E409" t="s">
        <v>993</v>
      </c>
      <c r="F409" t="s">
        <v>999</v>
      </c>
      <c r="G409">
        <v>5</v>
      </c>
      <c r="H409">
        <v>1000</v>
      </c>
      <c r="I409" t="s">
        <v>1003</v>
      </c>
      <c r="J409">
        <f>Table1[[#This Row],[Quantity]]*Table1[[#This Row],[Price]]*(1-Table1[[#This Row],[Discount]])</f>
        <v>4250</v>
      </c>
      <c r="K409">
        <f>VALUE(SUBSTITUTE(Table1[[#This Row],[Discount]],"%",""))/100</f>
        <v>0.15</v>
      </c>
    </row>
    <row r="410" spans="1:11" x14ac:dyDescent="0.35">
      <c r="A410">
        <v>1408</v>
      </c>
      <c r="B410" s="1">
        <v>45755</v>
      </c>
      <c r="C410" t="s">
        <v>404</v>
      </c>
      <c r="D410" t="s">
        <v>979</v>
      </c>
      <c r="E410" t="s">
        <v>982</v>
      </c>
      <c r="F410" t="s">
        <v>997</v>
      </c>
      <c r="G410">
        <v>8</v>
      </c>
      <c r="H410">
        <v>500</v>
      </c>
      <c r="I410" t="s">
        <v>1002</v>
      </c>
      <c r="J410">
        <f>Table1[[#This Row],[Quantity]]*Table1[[#This Row],[Price]]*(1-Table1[[#This Row],[Discount]])</f>
        <v>3200</v>
      </c>
      <c r="K410">
        <f>VALUE(SUBSTITUTE(Table1[[#This Row],[Discount]],"%",""))/100</f>
        <v>0.2</v>
      </c>
    </row>
    <row r="411" spans="1:11" x14ac:dyDescent="0.35">
      <c r="A411">
        <v>1409</v>
      </c>
      <c r="B411" s="1">
        <v>45846</v>
      </c>
      <c r="C411" t="s">
        <v>405</v>
      </c>
      <c r="D411" t="s">
        <v>980</v>
      </c>
      <c r="E411" t="s">
        <v>990</v>
      </c>
      <c r="F411" t="s">
        <v>998</v>
      </c>
      <c r="G411">
        <v>3</v>
      </c>
      <c r="H411">
        <v>500</v>
      </c>
      <c r="I411" t="s">
        <v>1004</v>
      </c>
      <c r="J411">
        <f>Table1[[#This Row],[Quantity]]*Table1[[#This Row],[Price]]*(1-Table1[[#This Row],[Discount]])</f>
        <v>1350</v>
      </c>
      <c r="K411">
        <f>VALUE(SUBSTITUTE(Table1[[#This Row],[Discount]],"%",""))/100</f>
        <v>0.1</v>
      </c>
    </row>
    <row r="412" spans="1:11" x14ac:dyDescent="0.35">
      <c r="A412">
        <v>1410</v>
      </c>
      <c r="B412" s="1">
        <v>45632</v>
      </c>
      <c r="C412" t="s">
        <v>406</v>
      </c>
      <c r="D412" t="s">
        <v>981</v>
      </c>
      <c r="E412" t="s">
        <v>985</v>
      </c>
      <c r="F412" t="s">
        <v>998</v>
      </c>
      <c r="G412">
        <v>3</v>
      </c>
      <c r="H412">
        <v>250</v>
      </c>
      <c r="I412" t="s">
        <v>1003</v>
      </c>
      <c r="J412">
        <f>Table1[[#This Row],[Quantity]]*Table1[[#This Row],[Price]]*(1-Table1[[#This Row],[Discount]])</f>
        <v>637.5</v>
      </c>
      <c r="K412">
        <f>VALUE(SUBSTITUTE(Table1[[#This Row],[Discount]],"%",""))/100</f>
        <v>0.15</v>
      </c>
    </row>
    <row r="413" spans="1:11" x14ac:dyDescent="0.35">
      <c r="A413">
        <v>1411</v>
      </c>
      <c r="B413" s="1">
        <v>45859</v>
      </c>
      <c r="C413" t="s">
        <v>407</v>
      </c>
      <c r="D413" t="s">
        <v>978</v>
      </c>
      <c r="E413" t="s">
        <v>984</v>
      </c>
      <c r="F413" t="s">
        <v>998</v>
      </c>
      <c r="G413">
        <v>5</v>
      </c>
      <c r="H413">
        <v>500</v>
      </c>
      <c r="I413" t="s">
        <v>1000</v>
      </c>
      <c r="J413">
        <f>Table1[[#This Row],[Quantity]]*Table1[[#This Row],[Price]]*(1-Table1[[#This Row],[Discount]])</f>
        <v>2375</v>
      </c>
      <c r="K413">
        <f>VALUE(SUBSTITUTE(Table1[[#This Row],[Discount]],"%",""))/100</f>
        <v>0.05</v>
      </c>
    </row>
    <row r="414" spans="1:11" x14ac:dyDescent="0.35">
      <c r="A414">
        <v>1412</v>
      </c>
      <c r="B414" s="1">
        <v>45665</v>
      </c>
      <c r="C414" t="s">
        <v>408</v>
      </c>
      <c r="D414" t="s">
        <v>980</v>
      </c>
      <c r="E414" t="s">
        <v>994</v>
      </c>
      <c r="F414" t="s">
        <v>997</v>
      </c>
      <c r="G414">
        <v>7</v>
      </c>
      <c r="H414">
        <v>2500</v>
      </c>
      <c r="I414" t="s">
        <v>1003</v>
      </c>
      <c r="J414">
        <f>Table1[[#This Row],[Quantity]]*Table1[[#This Row],[Price]]*(1-Table1[[#This Row],[Discount]])</f>
        <v>14875</v>
      </c>
      <c r="K414">
        <f>VALUE(SUBSTITUTE(Table1[[#This Row],[Discount]],"%",""))/100</f>
        <v>0.15</v>
      </c>
    </row>
    <row r="415" spans="1:11" x14ac:dyDescent="0.35">
      <c r="A415">
        <v>1413</v>
      </c>
      <c r="B415" s="1">
        <v>45712</v>
      </c>
      <c r="C415" t="s">
        <v>409</v>
      </c>
      <c r="D415" t="s">
        <v>979</v>
      </c>
      <c r="E415" t="s">
        <v>987</v>
      </c>
      <c r="F415" t="s">
        <v>999</v>
      </c>
      <c r="G415">
        <v>6</v>
      </c>
      <c r="H415">
        <v>500</v>
      </c>
      <c r="I415" t="s">
        <v>1001</v>
      </c>
      <c r="J415">
        <f>Table1[[#This Row],[Quantity]]*Table1[[#This Row],[Price]]*(1-Table1[[#This Row],[Discount]])</f>
        <v>3000</v>
      </c>
      <c r="K415">
        <f>VALUE(SUBSTITUTE(Table1[[#This Row],[Discount]],"%",""))/100</f>
        <v>0</v>
      </c>
    </row>
    <row r="416" spans="1:11" x14ac:dyDescent="0.35">
      <c r="A416">
        <v>1414</v>
      </c>
      <c r="B416" s="1">
        <v>45615</v>
      </c>
      <c r="C416" t="s">
        <v>410</v>
      </c>
      <c r="D416" t="s">
        <v>981</v>
      </c>
      <c r="E416" t="s">
        <v>993</v>
      </c>
      <c r="F416" t="s">
        <v>999</v>
      </c>
      <c r="G416">
        <v>3</v>
      </c>
      <c r="H416">
        <v>250</v>
      </c>
      <c r="I416" t="s">
        <v>1003</v>
      </c>
      <c r="J416">
        <f>Table1[[#This Row],[Quantity]]*Table1[[#This Row],[Price]]*(1-Table1[[#This Row],[Discount]])</f>
        <v>637.5</v>
      </c>
      <c r="K416">
        <f>VALUE(SUBSTITUTE(Table1[[#This Row],[Discount]],"%",""))/100</f>
        <v>0.15</v>
      </c>
    </row>
    <row r="417" spans="1:11" x14ac:dyDescent="0.35">
      <c r="A417">
        <v>1415</v>
      </c>
      <c r="B417" s="1">
        <v>45768</v>
      </c>
      <c r="C417" t="s">
        <v>411</v>
      </c>
      <c r="D417" t="s">
        <v>978</v>
      </c>
      <c r="E417" t="s">
        <v>996</v>
      </c>
      <c r="F417" t="s">
        <v>999</v>
      </c>
      <c r="G417">
        <v>9</v>
      </c>
      <c r="H417">
        <v>1500</v>
      </c>
      <c r="I417" t="s">
        <v>1003</v>
      </c>
      <c r="J417">
        <f>Table1[[#This Row],[Quantity]]*Table1[[#This Row],[Price]]*(1-Table1[[#This Row],[Discount]])</f>
        <v>11475</v>
      </c>
      <c r="K417">
        <f>VALUE(SUBSTITUTE(Table1[[#This Row],[Discount]],"%",""))/100</f>
        <v>0.15</v>
      </c>
    </row>
    <row r="418" spans="1:11" x14ac:dyDescent="0.35">
      <c r="A418">
        <v>1416</v>
      </c>
      <c r="B418" s="1">
        <v>45855</v>
      </c>
      <c r="C418" t="s">
        <v>412</v>
      </c>
      <c r="D418" t="s">
        <v>978</v>
      </c>
      <c r="E418" t="s">
        <v>990</v>
      </c>
      <c r="F418" t="s">
        <v>998</v>
      </c>
      <c r="G418">
        <v>7</v>
      </c>
      <c r="H418">
        <v>100</v>
      </c>
      <c r="I418" t="s">
        <v>1000</v>
      </c>
      <c r="J418">
        <f>Table1[[#This Row],[Quantity]]*Table1[[#This Row],[Price]]*(1-Table1[[#This Row],[Discount]])</f>
        <v>665</v>
      </c>
      <c r="K418">
        <f>VALUE(SUBSTITUTE(Table1[[#This Row],[Discount]],"%",""))/100</f>
        <v>0.05</v>
      </c>
    </row>
    <row r="419" spans="1:11" x14ac:dyDescent="0.35">
      <c r="A419">
        <v>1417</v>
      </c>
      <c r="B419" s="1">
        <v>45808</v>
      </c>
      <c r="C419" t="s">
        <v>413</v>
      </c>
      <c r="D419" t="s">
        <v>979</v>
      </c>
      <c r="E419" t="s">
        <v>995</v>
      </c>
      <c r="F419" t="s">
        <v>997</v>
      </c>
      <c r="G419">
        <v>3</v>
      </c>
      <c r="H419">
        <v>250</v>
      </c>
      <c r="I419" t="s">
        <v>1004</v>
      </c>
      <c r="J419">
        <f>Table1[[#This Row],[Quantity]]*Table1[[#This Row],[Price]]*(1-Table1[[#This Row],[Discount]])</f>
        <v>675</v>
      </c>
      <c r="K419">
        <f>VALUE(SUBSTITUTE(Table1[[#This Row],[Discount]],"%",""))/100</f>
        <v>0.1</v>
      </c>
    </row>
    <row r="420" spans="1:11" x14ac:dyDescent="0.35">
      <c r="A420">
        <v>1418</v>
      </c>
      <c r="B420" s="1">
        <v>45642</v>
      </c>
      <c r="C420" t="s">
        <v>414</v>
      </c>
      <c r="D420" t="s">
        <v>979</v>
      </c>
      <c r="E420" t="s">
        <v>982</v>
      </c>
      <c r="F420" t="s">
        <v>997</v>
      </c>
      <c r="G420">
        <v>10</v>
      </c>
      <c r="H420">
        <v>100</v>
      </c>
      <c r="I420" t="s">
        <v>1001</v>
      </c>
      <c r="J420">
        <f>Table1[[#This Row],[Quantity]]*Table1[[#This Row],[Price]]*(1-Table1[[#This Row],[Discount]])</f>
        <v>1000</v>
      </c>
      <c r="K420">
        <f>VALUE(SUBSTITUTE(Table1[[#This Row],[Discount]],"%",""))/100</f>
        <v>0</v>
      </c>
    </row>
    <row r="421" spans="1:11" x14ac:dyDescent="0.35">
      <c r="A421">
        <v>1419</v>
      </c>
      <c r="B421" s="1">
        <v>45513</v>
      </c>
      <c r="C421" t="s">
        <v>415</v>
      </c>
      <c r="D421" t="s">
        <v>978</v>
      </c>
      <c r="E421" t="s">
        <v>991</v>
      </c>
      <c r="F421" t="s">
        <v>998</v>
      </c>
      <c r="G421">
        <v>5</v>
      </c>
      <c r="H421">
        <v>4500</v>
      </c>
      <c r="I421" t="s">
        <v>1000</v>
      </c>
      <c r="J421">
        <f>Table1[[#This Row],[Quantity]]*Table1[[#This Row],[Price]]*(1-Table1[[#This Row],[Discount]])</f>
        <v>21375</v>
      </c>
      <c r="K421">
        <f>VALUE(SUBSTITUTE(Table1[[#This Row],[Discount]],"%",""))/100</f>
        <v>0.05</v>
      </c>
    </row>
    <row r="422" spans="1:11" x14ac:dyDescent="0.35">
      <c r="A422">
        <v>1420</v>
      </c>
      <c r="B422" s="1">
        <v>45514</v>
      </c>
      <c r="C422" t="s">
        <v>416</v>
      </c>
      <c r="D422" t="s">
        <v>978</v>
      </c>
      <c r="E422" t="s">
        <v>982</v>
      </c>
      <c r="F422" t="s">
        <v>997</v>
      </c>
      <c r="G422">
        <v>9</v>
      </c>
      <c r="H422">
        <v>1000</v>
      </c>
      <c r="I422" t="s">
        <v>1002</v>
      </c>
      <c r="J422">
        <f>Table1[[#This Row],[Quantity]]*Table1[[#This Row],[Price]]*(1-Table1[[#This Row],[Discount]])</f>
        <v>7200</v>
      </c>
      <c r="K422">
        <f>VALUE(SUBSTITUTE(Table1[[#This Row],[Discount]],"%",""))/100</f>
        <v>0.2</v>
      </c>
    </row>
    <row r="423" spans="1:11" x14ac:dyDescent="0.35">
      <c r="A423">
        <v>1421</v>
      </c>
      <c r="B423" s="1">
        <v>45641</v>
      </c>
      <c r="C423" t="s">
        <v>417</v>
      </c>
      <c r="D423" t="s">
        <v>980</v>
      </c>
      <c r="E423" t="s">
        <v>982</v>
      </c>
      <c r="F423" t="s">
        <v>997</v>
      </c>
      <c r="G423">
        <v>5</v>
      </c>
      <c r="H423">
        <v>250</v>
      </c>
      <c r="I423" t="s">
        <v>1001</v>
      </c>
      <c r="J423">
        <f>Table1[[#This Row],[Quantity]]*Table1[[#This Row],[Price]]*(1-Table1[[#This Row],[Discount]])</f>
        <v>1250</v>
      </c>
      <c r="K423">
        <f>VALUE(SUBSTITUTE(Table1[[#This Row],[Discount]],"%",""))/100</f>
        <v>0</v>
      </c>
    </row>
    <row r="424" spans="1:11" x14ac:dyDescent="0.35">
      <c r="A424">
        <v>1422</v>
      </c>
      <c r="B424" s="1">
        <v>45764</v>
      </c>
      <c r="C424" t="s">
        <v>418</v>
      </c>
      <c r="D424" t="s">
        <v>978</v>
      </c>
      <c r="E424" t="s">
        <v>983</v>
      </c>
      <c r="F424" t="s">
        <v>997</v>
      </c>
      <c r="G424">
        <v>6</v>
      </c>
      <c r="H424">
        <v>2500</v>
      </c>
      <c r="I424" t="s">
        <v>1004</v>
      </c>
      <c r="J424">
        <f>Table1[[#This Row],[Quantity]]*Table1[[#This Row],[Price]]*(1-Table1[[#This Row],[Discount]])</f>
        <v>13500</v>
      </c>
      <c r="K424">
        <f>VALUE(SUBSTITUTE(Table1[[#This Row],[Discount]],"%",""))/100</f>
        <v>0.1</v>
      </c>
    </row>
    <row r="425" spans="1:11" x14ac:dyDescent="0.35">
      <c r="A425">
        <v>1423</v>
      </c>
      <c r="B425" s="1">
        <v>45530</v>
      </c>
      <c r="C425" t="s">
        <v>419</v>
      </c>
      <c r="D425" t="s">
        <v>979</v>
      </c>
      <c r="E425" t="s">
        <v>993</v>
      </c>
      <c r="F425" t="s">
        <v>999</v>
      </c>
      <c r="G425">
        <v>4</v>
      </c>
      <c r="H425">
        <v>100</v>
      </c>
      <c r="I425" t="s">
        <v>1001</v>
      </c>
      <c r="J425">
        <f>Table1[[#This Row],[Quantity]]*Table1[[#This Row],[Price]]*(1-Table1[[#This Row],[Discount]])</f>
        <v>400</v>
      </c>
      <c r="K425">
        <f>VALUE(SUBSTITUTE(Table1[[#This Row],[Discount]],"%",""))/100</f>
        <v>0</v>
      </c>
    </row>
    <row r="426" spans="1:11" x14ac:dyDescent="0.35">
      <c r="A426">
        <v>1424</v>
      </c>
      <c r="B426" s="1">
        <v>45753</v>
      </c>
      <c r="C426" t="s">
        <v>420</v>
      </c>
      <c r="D426" t="s">
        <v>981</v>
      </c>
      <c r="E426" t="s">
        <v>992</v>
      </c>
      <c r="F426" t="s">
        <v>998</v>
      </c>
      <c r="G426">
        <v>9</v>
      </c>
      <c r="H426">
        <v>250</v>
      </c>
      <c r="I426" t="s">
        <v>1001</v>
      </c>
      <c r="J426">
        <f>Table1[[#This Row],[Quantity]]*Table1[[#This Row],[Price]]*(1-Table1[[#This Row],[Discount]])</f>
        <v>2250</v>
      </c>
      <c r="K426">
        <f>VALUE(SUBSTITUTE(Table1[[#This Row],[Discount]],"%",""))/100</f>
        <v>0</v>
      </c>
    </row>
    <row r="427" spans="1:11" x14ac:dyDescent="0.35">
      <c r="A427">
        <v>1425</v>
      </c>
      <c r="B427" s="1">
        <v>45573</v>
      </c>
      <c r="C427" t="s">
        <v>421</v>
      </c>
      <c r="D427" t="s">
        <v>979</v>
      </c>
      <c r="E427" t="s">
        <v>996</v>
      </c>
      <c r="F427" t="s">
        <v>999</v>
      </c>
      <c r="G427">
        <v>1</v>
      </c>
      <c r="H427">
        <v>250</v>
      </c>
      <c r="I427" t="s">
        <v>1000</v>
      </c>
      <c r="J427">
        <f>Table1[[#This Row],[Quantity]]*Table1[[#This Row],[Price]]*(1-Table1[[#This Row],[Discount]])</f>
        <v>237.5</v>
      </c>
      <c r="K427">
        <f>VALUE(SUBSTITUTE(Table1[[#This Row],[Discount]],"%",""))/100</f>
        <v>0.05</v>
      </c>
    </row>
    <row r="428" spans="1:11" x14ac:dyDescent="0.35">
      <c r="A428">
        <v>1426</v>
      </c>
      <c r="B428" s="1">
        <v>45674</v>
      </c>
      <c r="C428" t="s">
        <v>422</v>
      </c>
      <c r="D428" t="s">
        <v>978</v>
      </c>
      <c r="E428" t="s">
        <v>987</v>
      </c>
      <c r="F428" t="s">
        <v>999</v>
      </c>
      <c r="G428">
        <v>2</v>
      </c>
      <c r="H428">
        <v>100</v>
      </c>
      <c r="I428" t="s">
        <v>1001</v>
      </c>
      <c r="J428">
        <f>Table1[[#This Row],[Quantity]]*Table1[[#This Row],[Price]]*(1-Table1[[#This Row],[Discount]])</f>
        <v>200</v>
      </c>
      <c r="K428">
        <f>VALUE(SUBSTITUTE(Table1[[#This Row],[Discount]],"%",""))/100</f>
        <v>0</v>
      </c>
    </row>
    <row r="429" spans="1:11" x14ac:dyDescent="0.35">
      <c r="A429">
        <v>1427</v>
      </c>
      <c r="B429" s="1">
        <v>45691</v>
      </c>
      <c r="C429" t="s">
        <v>423</v>
      </c>
      <c r="D429" t="s">
        <v>981</v>
      </c>
      <c r="E429" t="s">
        <v>989</v>
      </c>
      <c r="F429" t="s">
        <v>999</v>
      </c>
      <c r="G429">
        <v>5</v>
      </c>
      <c r="H429">
        <v>250</v>
      </c>
      <c r="I429" t="s">
        <v>1004</v>
      </c>
      <c r="J429">
        <f>Table1[[#This Row],[Quantity]]*Table1[[#This Row],[Price]]*(1-Table1[[#This Row],[Discount]])</f>
        <v>1125</v>
      </c>
      <c r="K429">
        <f>VALUE(SUBSTITUTE(Table1[[#This Row],[Discount]],"%",""))/100</f>
        <v>0.1</v>
      </c>
    </row>
    <row r="430" spans="1:11" x14ac:dyDescent="0.35">
      <c r="A430">
        <v>1428</v>
      </c>
      <c r="B430" s="1">
        <v>45568</v>
      </c>
      <c r="C430" t="s">
        <v>424</v>
      </c>
      <c r="D430" t="s">
        <v>979</v>
      </c>
      <c r="E430" t="s">
        <v>996</v>
      </c>
      <c r="F430" t="s">
        <v>999</v>
      </c>
      <c r="G430">
        <v>8</v>
      </c>
      <c r="H430">
        <v>2500</v>
      </c>
      <c r="I430" t="s">
        <v>1000</v>
      </c>
      <c r="J430">
        <f>Table1[[#This Row],[Quantity]]*Table1[[#This Row],[Price]]*(1-Table1[[#This Row],[Discount]])</f>
        <v>19000</v>
      </c>
      <c r="K430">
        <f>VALUE(SUBSTITUTE(Table1[[#This Row],[Discount]],"%",""))/100</f>
        <v>0.05</v>
      </c>
    </row>
    <row r="431" spans="1:11" x14ac:dyDescent="0.35">
      <c r="A431">
        <v>1429</v>
      </c>
      <c r="B431" s="1">
        <v>45765</v>
      </c>
      <c r="C431" t="s">
        <v>425</v>
      </c>
      <c r="D431" t="s">
        <v>980</v>
      </c>
      <c r="E431" t="s">
        <v>992</v>
      </c>
      <c r="F431" t="s">
        <v>998</v>
      </c>
      <c r="G431">
        <v>7</v>
      </c>
      <c r="H431">
        <v>4500</v>
      </c>
      <c r="I431" t="s">
        <v>1002</v>
      </c>
      <c r="J431">
        <f>Table1[[#This Row],[Quantity]]*Table1[[#This Row],[Price]]*(1-Table1[[#This Row],[Discount]])</f>
        <v>25200</v>
      </c>
      <c r="K431">
        <f>VALUE(SUBSTITUTE(Table1[[#This Row],[Discount]],"%",""))/100</f>
        <v>0.2</v>
      </c>
    </row>
    <row r="432" spans="1:11" x14ac:dyDescent="0.35">
      <c r="A432">
        <v>1430</v>
      </c>
      <c r="B432" s="1">
        <v>45776</v>
      </c>
      <c r="C432" t="s">
        <v>426</v>
      </c>
      <c r="D432" t="s">
        <v>980</v>
      </c>
      <c r="E432" t="s">
        <v>990</v>
      </c>
      <c r="F432" t="s">
        <v>998</v>
      </c>
      <c r="G432">
        <v>8</v>
      </c>
      <c r="H432">
        <v>4500</v>
      </c>
      <c r="I432" t="s">
        <v>1001</v>
      </c>
      <c r="J432">
        <f>Table1[[#This Row],[Quantity]]*Table1[[#This Row],[Price]]*(1-Table1[[#This Row],[Discount]])</f>
        <v>36000</v>
      </c>
      <c r="K432">
        <f>VALUE(SUBSTITUTE(Table1[[#This Row],[Discount]],"%",""))/100</f>
        <v>0</v>
      </c>
    </row>
    <row r="433" spans="1:11" x14ac:dyDescent="0.35">
      <c r="A433">
        <v>1431</v>
      </c>
      <c r="B433" s="1">
        <v>45831</v>
      </c>
      <c r="C433" t="s">
        <v>427</v>
      </c>
      <c r="D433" t="s">
        <v>979</v>
      </c>
      <c r="E433" t="s">
        <v>991</v>
      </c>
      <c r="F433" t="s">
        <v>998</v>
      </c>
      <c r="G433">
        <v>10</v>
      </c>
      <c r="H433">
        <v>500</v>
      </c>
      <c r="I433" t="s">
        <v>1004</v>
      </c>
      <c r="J433">
        <f>Table1[[#This Row],[Quantity]]*Table1[[#This Row],[Price]]*(1-Table1[[#This Row],[Discount]])</f>
        <v>4500</v>
      </c>
      <c r="K433">
        <f>VALUE(SUBSTITUTE(Table1[[#This Row],[Discount]],"%",""))/100</f>
        <v>0.1</v>
      </c>
    </row>
    <row r="434" spans="1:11" x14ac:dyDescent="0.35">
      <c r="A434">
        <v>1432</v>
      </c>
      <c r="B434" s="1">
        <v>45568</v>
      </c>
      <c r="C434" t="s">
        <v>428</v>
      </c>
      <c r="D434" t="s">
        <v>978</v>
      </c>
      <c r="E434" t="s">
        <v>994</v>
      </c>
      <c r="F434" t="s">
        <v>997</v>
      </c>
      <c r="G434">
        <v>3</v>
      </c>
      <c r="H434">
        <v>100</v>
      </c>
      <c r="I434" t="s">
        <v>1001</v>
      </c>
      <c r="J434">
        <f>Table1[[#This Row],[Quantity]]*Table1[[#This Row],[Price]]*(1-Table1[[#This Row],[Discount]])</f>
        <v>300</v>
      </c>
      <c r="K434">
        <f>VALUE(SUBSTITUTE(Table1[[#This Row],[Discount]],"%",""))/100</f>
        <v>0</v>
      </c>
    </row>
    <row r="435" spans="1:11" x14ac:dyDescent="0.35">
      <c r="A435">
        <v>1433</v>
      </c>
      <c r="B435" s="1">
        <v>45579</v>
      </c>
      <c r="C435" t="s">
        <v>429</v>
      </c>
      <c r="D435" t="s">
        <v>981</v>
      </c>
      <c r="E435" t="s">
        <v>992</v>
      </c>
      <c r="F435" t="s">
        <v>998</v>
      </c>
      <c r="G435">
        <v>8</v>
      </c>
      <c r="H435">
        <v>1500</v>
      </c>
      <c r="I435" t="s">
        <v>1000</v>
      </c>
      <c r="J435">
        <f>Table1[[#This Row],[Quantity]]*Table1[[#This Row],[Price]]*(1-Table1[[#This Row],[Discount]])</f>
        <v>11400</v>
      </c>
      <c r="K435">
        <f>VALUE(SUBSTITUTE(Table1[[#This Row],[Discount]],"%",""))/100</f>
        <v>0.05</v>
      </c>
    </row>
    <row r="436" spans="1:11" x14ac:dyDescent="0.35">
      <c r="A436">
        <v>1434</v>
      </c>
      <c r="B436" s="1">
        <v>45641</v>
      </c>
      <c r="C436" t="s">
        <v>430</v>
      </c>
      <c r="D436" t="s">
        <v>980</v>
      </c>
      <c r="E436" t="s">
        <v>994</v>
      </c>
      <c r="F436" t="s">
        <v>997</v>
      </c>
      <c r="G436">
        <v>7</v>
      </c>
      <c r="H436">
        <v>500</v>
      </c>
      <c r="I436" t="s">
        <v>1001</v>
      </c>
      <c r="J436">
        <f>Table1[[#This Row],[Quantity]]*Table1[[#This Row],[Price]]*(1-Table1[[#This Row],[Discount]])</f>
        <v>3500</v>
      </c>
      <c r="K436">
        <f>VALUE(SUBSTITUTE(Table1[[#This Row],[Discount]],"%",""))/100</f>
        <v>0</v>
      </c>
    </row>
    <row r="437" spans="1:11" x14ac:dyDescent="0.35">
      <c r="A437">
        <v>1435</v>
      </c>
      <c r="B437" s="1">
        <v>45715</v>
      </c>
      <c r="C437" t="s">
        <v>431</v>
      </c>
      <c r="D437" t="s">
        <v>979</v>
      </c>
      <c r="E437" t="s">
        <v>996</v>
      </c>
      <c r="F437" t="s">
        <v>999</v>
      </c>
      <c r="G437">
        <v>6</v>
      </c>
      <c r="H437">
        <v>250</v>
      </c>
      <c r="I437" t="s">
        <v>1003</v>
      </c>
      <c r="J437">
        <f>Table1[[#This Row],[Quantity]]*Table1[[#This Row],[Price]]*(1-Table1[[#This Row],[Discount]])</f>
        <v>1275</v>
      </c>
      <c r="K437">
        <f>VALUE(SUBSTITUTE(Table1[[#This Row],[Discount]],"%",""))/100</f>
        <v>0.15</v>
      </c>
    </row>
    <row r="438" spans="1:11" x14ac:dyDescent="0.35">
      <c r="A438">
        <v>1436</v>
      </c>
      <c r="B438" s="1">
        <v>45655</v>
      </c>
      <c r="C438" t="s">
        <v>432</v>
      </c>
      <c r="D438" t="s">
        <v>978</v>
      </c>
      <c r="E438" t="s">
        <v>992</v>
      </c>
      <c r="F438" t="s">
        <v>998</v>
      </c>
      <c r="G438">
        <v>10</v>
      </c>
      <c r="H438">
        <v>1000</v>
      </c>
      <c r="I438" t="s">
        <v>1002</v>
      </c>
      <c r="J438">
        <f>Table1[[#This Row],[Quantity]]*Table1[[#This Row],[Price]]*(1-Table1[[#This Row],[Discount]])</f>
        <v>8000</v>
      </c>
      <c r="K438">
        <f>VALUE(SUBSTITUTE(Table1[[#This Row],[Discount]],"%",""))/100</f>
        <v>0.2</v>
      </c>
    </row>
    <row r="439" spans="1:11" x14ac:dyDescent="0.35">
      <c r="A439">
        <v>1437</v>
      </c>
      <c r="B439" s="1">
        <v>45529</v>
      </c>
      <c r="C439" t="s">
        <v>433</v>
      </c>
      <c r="D439" t="s">
        <v>980</v>
      </c>
      <c r="E439" t="s">
        <v>990</v>
      </c>
      <c r="F439" t="s">
        <v>998</v>
      </c>
      <c r="G439">
        <v>8</v>
      </c>
      <c r="H439">
        <v>1500</v>
      </c>
      <c r="I439" t="s">
        <v>1002</v>
      </c>
      <c r="J439">
        <f>Table1[[#This Row],[Quantity]]*Table1[[#This Row],[Price]]*(1-Table1[[#This Row],[Discount]])</f>
        <v>9600</v>
      </c>
      <c r="K439">
        <f>VALUE(SUBSTITUTE(Table1[[#This Row],[Discount]],"%",""))/100</f>
        <v>0.2</v>
      </c>
    </row>
    <row r="440" spans="1:11" x14ac:dyDescent="0.35">
      <c r="A440">
        <v>1438</v>
      </c>
      <c r="B440" s="1">
        <v>45681</v>
      </c>
      <c r="C440" t="s">
        <v>434</v>
      </c>
      <c r="D440" t="s">
        <v>981</v>
      </c>
      <c r="E440" t="s">
        <v>990</v>
      </c>
      <c r="F440" t="s">
        <v>998</v>
      </c>
      <c r="G440">
        <v>1</v>
      </c>
      <c r="H440">
        <v>1500</v>
      </c>
      <c r="I440" t="s">
        <v>1004</v>
      </c>
      <c r="J440">
        <f>Table1[[#This Row],[Quantity]]*Table1[[#This Row],[Price]]*(1-Table1[[#This Row],[Discount]])</f>
        <v>1350</v>
      </c>
      <c r="K440">
        <f>VALUE(SUBSTITUTE(Table1[[#This Row],[Discount]],"%",""))/100</f>
        <v>0.1</v>
      </c>
    </row>
    <row r="441" spans="1:11" x14ac:dyDescent="0.35">
      <c r="A441">
        <v>1439</v>
      </c>
      <c r="B441" s="1">
        <v>45804</v>
      </c>
      <c r="C441" t="s">
        <v>435</v>
      </c>
      <c r="D441" t="s">
        <v>981</v>
      </c>
      <c r="E441" t="s">
        <v>984</v>
      </c>
      <c r="F441" t="s">
        <v>998</v>
      </c>
      <c r="G441">
        <v>3</v>
      </c>
      <c r="H441">
        <v>2500</v>
      </c>
      <c r="I441" t="s">
        <v>1001</v>
      </c>
      <c r="J441">
        <f>Table1[[#This Row],[Quantity]]*Table1[[#This Row],[Price]]*(1-Table1[[#This Row],[Discount]])</f>
        <v>7500</v>
      </c>
      <c r="K441">
        <f>VALUE(SUBSTITUTE(Table1[[#This Row],[Discount]],"%",""))/100</f>
        <v>0</v>
      </c>
    </row>
    <row r="442" spans="1:11" x14ac:dyDescent="0.35">
      <c r="A442">
        <v>1440</v>
      </c>
      <c r="B442" s="1">
        <v>45551</v>
      </c>
      <c r="C442" t="s">
        <v>436</v>
      </c>
      <c r="D442" t="s">
        <v>979</v>
      </c>
      <c r="E442" t="s">
        <v>988</v>
      </c>
      <c r="F442" t="s">
        <v>999</v>
      </c>
      <c r="G442">
        <v>8</v>
      </c>
      <c r="H442">
        <v>500</v>
      </c>
      <c r="I442" t="s">
        <v>1004</v>
      </c>
      <c r="J442">
        <f>Table1[[#This Row],[Quantity]]*Table1[[#This Row],[Price]]*(1-Table1[[#This Row],[Discount]])</f>
        <v>3600</v>
      </c>
      <c r="K442">
        <f>VALUE(SUBSTITUTE(Table1[[#This Row],[Discount]],"%",""))/100</f>
        <v>0.1</v>
      </c>
    </row>
    <row r="443" spans="1:11" x14ac:dyDescent="0.35">
      <c r="A443">
        <v>1441</v>
      </c>
      <c r="B443" s="1">
        <v>45549</v>
      </c>
      <c r="C443" t="s">
        <v>1005</v>
      </c>
      <c r="D443" t="s">
        <v>978</v>
      </c>
      <c r="E443" t="s">
        <v>995</v>
      </c>
      <c r="F443" t="s">
        <v>997</v>
      </c>
      <c r="G443">
        <v>2</v>
      </c>
      <c r="H443">
        <v>4500</v>
      </c>
      <c r="I443" t="s">
        <v>1003</v>
      </c>
      <c r="J443">
        <f>Table1[[#This Row],[Quantity]]*Table1[[#This Row],[Price]]*(1-Table1[[#This Row],[Discount]])</f>
        <v>7650</v>
      </c>
      <c r="K443">
        <f>VALUE(SUBSTITUTE(Table1[[#This Row],[Discount]],"%",""))/100</f>
        <v>0.15</v>
      </c>
    </row>
    <row r="444" spans="1:11" x14ac:dyDescent="0.35">
      <c r="A444">
        <v>1442</v>
      </c>
      <c r="B444" s="1">
        <v>45864</v>
      </c>
      <c r="C444" t="s">
        <v>437</v>
      </c>
      <c r="D444" t="s">
        <v>978</v>
      </c>
      <c r="E444" t="s">
        <v>994</v>
      </c>
      <c r="F444" t="s">
        <v>997</v>
      </c>
      <c r="G444">
        <v>10</v>
      </c>
      <c r="H444">
        <v>4500</v>
      </c>
      <c r="I444" t="s">
        <v>1002</v>
      </c>
      <c r="J444">
        <f>Table1[[#This Row],[Quantity]]*Table1[[#This Row],[Price]]*(1-Table1[[#This Row],[Discount]])</f>
        <v>36000</v>
      </c>
      <c r="K444">
        <f>VALUE(SUBSTITUTE(Table1[[#This Row],[Discount]],"%",""))/100</f>
        <v>0.2</v>
      </c>
    </row>
    <row r="445" spans="1:11" x14ac:dyDescent="0.35">
      <c r="A445">
        <v>1443</v>
      </c>
      <c r="B445" s="1">
        <v>45848</v>
      </c>
      <c r="C445" t="s">
        <v>438</v>
      </c>
      <c r="D445" t="s">
        <v>980</v>
      </c>
      <c r="E445" t="s">
        <v>984</v>
      </c>
      <c r="F445" t="s">
        <v>998</v>
      </c>
      <c r="G445">
        <v>10</v>
      </c>
      <c r="H445">
        <v>1500</v>
      </c>
      <c r="I445" t="s">
        <v>1002</v>
      </c>
      <c r="J445">
        <f>Table1[[#This Row],[Quantity]]*Table1[[#This Row],[Price]]*(1-Table1[[#This Row],[Discount]])</f>
        <v>12000</v>
      </c>
      <c r="K445">
        <f>VALUE(SUBSTITUTE(Table1[[#This Row],[Discount]],"%",""))/100</f>
        <v>0.2</v>
      </c>
    </row>
    <row r="446" spans="1:11" x14ac:dyDescent="0.35">
      <c r="A446">
        <v>1444</v>
      </c>
      <c r="B446" s="1">
        <v>45714</v>
      </c>
      <c r="C446" t="s">
        <v>439</v>
      </c>
      <c r="D446" t="s">
        <v>980</v>
      </c>
      <c r="E446" t="s">
        <v>985</v>
      </c>
      <c r="F446" t="s">
        <v>998</v>
      </c>
      <c r="G446">
        <v>7</v>
      </c>
      <c r="H446">
        <v>1500</v>
      </c>
      <c r="I446" t="s">
        <v>1004</v>
      </c>
      <c r="J446">
        <f>Table1[[#This Row],[Quantity]]*Table1[[#This Row],[Price]]*(1-Table1[[#This Row],[Discount]])</f>
        <v>9450</v>
      </c>
      <c r="K446">
        <f>VALUE(SUBSTITUTE(Table1[[#This Row],[Discount]],"%",""))/100</f>
        <v>0.1</v>
      </c>
    </row>
    <row r="447" spans="1:11" x14ac:dyDescent="0.35">
      <c r="A447">
        <v>1445</v>
      </c>
      <c r="B447" s="1">
        <v>45537</v>
      </c>
      <c r="C447" t="s">
        <v>440</v>
      </c>
      <c r="D447" t="s">
        <v>978</v>
      </c>
      <c r="E447" t="s">
        <v>995</v>
      </c>
      <c r="F447" t="s">
        <v>997</v>
      </c>
      <c r="G447">
        <v>5</v>
      </c>
      <c r="H447">
        <v>1500</v>
      </c>
      <c r="I447" t="s">
        <v>1002</v>
      </c>
      <c r="J447">
        <f>Table1[[#This Row],[Quantity]]*Table1[[#This Row],[Price]]*(1-Table1[[#This Row],[Discount]])</f>
        <v>6000</v>
      </c>
      <c r="K447">
        <f>VALUE(SUBSTITUTE(Table1[[#This Row],[Discount]],"%",""))/100</f>
        <v>0.2</v>
      </c>
    </row>
    <row r="448" spans="1:11" x14ac:dyDescent="0.35">
      <c r="A448">
        <v>1446</v>
      </c>
      <c r="B448" s="1">
        <v>45560</v>
      </c>
      <c r="C448" t="s">
        <v>441</v>
      </c>
      <c r="D448" t="s">
        <v>981</v>
      </c>
      <c r="E448" t="s">
        <v>988</v>
      </c>
      <c r="F448" t="s">
        <v>999</v>
      </c>
      <c r="G448">
        <v>3</v>
      </c>
      <c r="H448">
        <v>1500</v>
      </c>
      <c r="I448" t="s">
        <v>1001</v>
      </c>
      <c r="J448">
        <f>Table1[[#This Row],[Quantity]]*Table1[[#This Row],[Price]]*(1-Table1[[#This Row],[Discount]])</f>
        <v>4500</v>
      </c>
      <c r="K448">
        <f>VALUE(SUBSTITUTE(Table1[[#This Row],[Discount]],"%",""))/100</f>
        <v>0</v>
      </c>
    </row>
    <row r="449" spans="1:11" x14ac:dyDescent="0.35">
      <c r="A449">
        <v>1447</v>
      </c>
      <c r="B449" s="1">
        <v>45632</v>
      </c>
      <c r="C449" t="s">
        <v>442</v>
      </c>
      <c r="D449" t="s">
        <v>979</v>
      </c>
      <c r="E449" t="s">
        <v>994</v>
      </c>
      <c r="F449" t="s">
        <v>997</v>
      </c>
      <c r="G449">
        <v>9</v>
      </c>
      <c r="H449">
        <v>1000</v>
      </c>
      <c r="I449" t="s">
        <v>1003</v>
      </c>
      <c r="J449">
        <f>Table1[[#This Row],[Quantity]]*Table1[[#This Row],[Price]]*(1-Table1[[#This Row],[Discount]])</f>
        <v>7650</v>
      </c>
      <c r="K449">
        <f>VALUE(SUBSTITUTE(Table1[[#This Row],[Discount]],"%",""))/100</f>
        <v>0.15</v>
      </c>
    </row>
    <row r="450" spans="1:11" x14ac:dyDescent="0.35">
      <c r="A450">
        <v>1448</v>
      </c>
      <c r="B450" s="1">
        <v>45512</v>
      </c>
      <c r="C450" t="s">
        <v>443</v>
      </c>
      <c r="D450" t="s">
        <v>981</v>
      </c>
      <c r="E450" t="s">
        <v>982</v>
      </c>
      <c r="F450" t="s">
        <v>997</v>
      </c>
      <c r="G450">
        <v>4</v>
      </c>
      <c r="H450">
        <v>1000</v>
      </c>
      <c r="I450" t="s">
        <v>1000</v>
      </c>
      <c r="J450">
        <f>Table1[[#This Row],[Quantity]]*Table1[[#This Row],[Price]]*(1-Table1[[#This Row],[Discount]])</f>
        <v>3800</v>
      </c>
      <c r="K450">
        <f>VALUE(SUBSTITUTE(Table1[[#This Row],[Discount]],"%",""))/100</f>
        <v>0.05</v>
      </c>
    </row>
    <row r="451" spans="1:11" x14ac:dyDescent="0.35">
      <c r="A451">
        <v>1449</v>
      </c>
      <c r="B451" s="1">
        <v>45603</v>
      </c>
      <c r="C451" t="s">
        <v>444</v>
      </c>
      <c r="D451" t="s">
        <v>980</v>
      </c>
      <c r="E451" t="s">
        <v>988</v>
      </c>
      <c r="F451" t="s">
        <v>999</v>
      </c>
      <c r="G451">
        <v>9</v>
      </c>
      <c r="H451">
        <v>100</v>
      </c>
      <c r="I451" t="s">
        <v>1004</v>
      </c>
      <c r="J451">
        <f>Table1[[#This Row],[Quantity]]*Table1[[#This Row],[Price]]*(1-Table1[[#This Row],[Discount]])</f>
        <v>810</v>
      </c>
      <c r="K451">
        <f>VALUE(SUBSTITUTE(Table1[[#This Row],[Discount]],"%",""))/100</f>
        <v>0.1</v>
      </c>
    </row>
    <row r="452" spans="1:11" x14ac:dyDescent="0.35">
      <c r="A452">
        <v>1450</v>
      </c>
      <c r="B452" s="1">
        <v>45749</v>
      </c>
      <c r="C452" t="s">
        <v>445</v>
      </c>
      <c r="D452" t="s">
        <v>981</v>
      </c>
      <c r="E452" t="s">
        <v>991</v>
      </c>
      <c r="F452" t="s">
        <v>998</v>
      </c>
      <c r="G452">
        <v>7</v>
      </c>
      <c r="H452">
        <v>500</v>
      </c>
      <c r="I452" t="s">
        <v>1002</v>
      </c>
      <c r="J452">
        <f>Table1[[#This Row],[Quantity]]*Table1[[#This Row],[Price]]*(1-Table1[[#This Row],[Discount]])</f>
        <v>2800</v>
      </c>
      <c r="K452">
        <f>VALUE(SUBSTITUTE(Table1[[#This Row],[Discount]],"%",""))/100</f>
        <v>0.2</v>
      </c>
    </row>
    <row r="453" spans="1:11" x14ac:dyDescent="0.35">
      <c r="A453">
        <v>1451</v>
      </c>
      <c r="B453" s="1">
        <v>45750</v>
      </c>
      <c r="C453" t="s">
        <v>446</v>
      </c>
      <c r="D453" t="s">
        <v>981</v>
      </c>
      <c r="E453" t="s">
        <v>993</v>
      </c>
      <c r="F453" t="s">
        <v>999</v>
      </c>
      <c r="G453">
        <v>9</v>
      </c>
      <c r="H453">
        <v>100</v>
      </c>
      <c r="I453" t="s">
        <v>1001</v>
      </c>
      <c r="J453">
        <f>Table1[[#This Row],[Quantity]]*Table1[[#This Row],[Price]]*(1-Table1[[#This Row],[Discount]])</f>
        <v>900</v>
      </c>
      <c r="K453">
        <f>VALUE(SUBSTITUTE(Table1[[#This Row],[Discount]],"%",""))/100</f>
        <v>0</v>
      </c>
    </row>
    <row r="454" spans="1:11" x14ac:dyDescent="0.35">
      <c r="A454">
        <v>1452</v>
      </c>
      <c r="B454" s="1">
        <v>45767</v>
      </c>
      <c r="C454" t="s">
        <v>447</v>
      </c>
      <c r="D454" t="s">
        <v>981</v>
      </c>
      <c r="E454" t="s">
        <v>988</v>
      </c>
      <c r="F454" t="s">
        <v>999</v>
      </c>
      <c r="G454">
        <v>6</v>
      </c>
      <c r="H454">
        <v>500</v>
      </c>
      <c r="I454" t="s">
        <v>1000</v>
      </c>
      <c r="J454">
        <f>Table1[[#This Row],[Quantity]]*Table1[[#This Row],[Price]]*(1-Table1[[#This Row],[Discount]])</f>
        <v>2850</v>
      </c>
      <c r="K454">
        <f>VALUE(SUBSTITUTE(Table1[[#This Row],[Discount]],"%",""))/100</f>
        <v>0.05</v>
      </c>
    </row>
    <row r="455" spans="1:11" x14ac:dyDescent="0.35">
      <c r="A455">
        <v>1453</v>
      </c>
      <c r="B455" s="1">
        <v>45562</v>
      </c>
      <c r="C455" t="s">
        <v>448</v>
      </c>
      <c r="D455" t="s">
        <v>980</v>
      </c>
      <c r="E455" t="s">
        <v>991</v>
      </c>
      <c r="F455" t="s">
        <v>998</v>
      </c>
      <c r="G455">
        <v>2</v>
      </c>
      <c r="H455">
        <v>2500</v>
      </c>
      <c r="I455" t="s">
        <v>1001</v>
      </c>
      <c r="J455">
        <f>Table1[[#This Row],[Quantity]]*Table1[[#This Row],[Price]]*(1-Table1[[#This Row],[Discount]])</f>
        <v>5000</v>
      </c>
      <c r="K455">
        <f>VALUE(SUBSTITUTE(Table1[[#This Row],[Discount]],"%",""))/100</f>
        <v>0</v>
      </c>
    </row>
    <row r="456" spans="1:11" x14ac:dyDescent="0.35">
      <c r="A456">
        <v>1454</v>
      </c>
      <c r="B456" s="1">
        <v>45736</v>
      </c>
      <c r="C456" t="s">
        <v>449</v>
      </c>
      <c r="D456" t="s">
        <v>979</v>
      </c>
      <c r="E456" t="s">
        <v>987</v>
      </c>
      <c r="F456" t="s">
        <v>999</v>
      </c>
      <c r="G456">
        <v>6</v>
      </c>
      <c r="H456">
        <v>4500</v>
      </c>
      <c r="I456" t="s">
        <v>1000</v>
      </c>
      <c r="J456">
        <f>Table1[[#This Row],[Quantity]]*Table1[[#This Row],[Price]]*(1-Table1[[#This Row],[Discount]])</f>
        <v>25650</v>
      </c>
      <c r="K456">
        <f>VALUE(SUBSTITUTE(Table1[[#This Row],[Discount]],"%",""))/100</f>
        <v>0.05</v>
      </c>
    </row>
    <row r="457" spans="1:11" x14ac:dyDescent="0.35">
      <c r="A457">
        <v>1455</v>
      </c>
      <c r="B457" s="1">
        <v>45835</v>
      </c>
      <c r="C457" t="s">
        <v>450</v>
      </c>
      <c r="D457" t="s">
        <v>981</v>
      </c>
      <c r="E457" t="s">
        <v>995</v>
      </c>
      <c r="F457" t="s">
        <v>997</v>
      </c>
      <c r="G457">
        <v>5</v>
      </c>
      <c r="H457">
        <v>4500</v>
      </c>
      <c r="I457" t="s">
        <v>1002</v>
      </c>
      <c r="J457">
        <f>Table1[[#This Row],[Quantity]]*Table1[[#This Row],[Price]]*(1-Table1[[#This Row],[Discount]])</f>
        <v>18000</v>
      </c>
      <c r="K457">
        <f>VALUE(SUBSTITUTE(Table1[[#This Row],[Discount]],"%",""))/100</f>
        <v>0.2</v>
      </c>
    </row>
    <row r="458" spans="1:11" x14ac:dyDescent="0.35">
      <c r="A458">
        <v>1456</v>
      </c>
      <c r="B458" s="1">
        <v>45700</v>
      </c>
      <c r="C458" t="s">
        <v>451</v>
      </c>
      <c r="D458" t="s">
        <v>980</v>
      </c>
      <c r="E458" t="s">
        <v>991</v>
      </c>
      <c r="F458" t="s">
        <v>998</v>
      </c>
      <c r="G458">
        <v>2</v>
      </c>
      <c r="H458">
        <v>300</v>
      </c>
      <c r="I458" t="s">
        <v>1003</v>
      </c>
      <c r="J458">
        <f>Table1[[#This Row],[Quantity]]*Table1[[#This Row],[Price]]*(1-Table1[[#This Row],[Discount]])</f>
        <v>510</v>
      </c>
      <c r="K458">
        <f>VALUE(SUBSTITUTE(Table1[[#This Row],[Discount]],"%",""))/100</f>
        <v>0.15</v>
      </c>
    </row>
    <row r="459" spans="1:11" x14ac:dyDescent="0.35">
      <c r="A459">
        <v>1457</v>
      </c>
      <c r="B459" s="1">
        <v>45604</v>
      </c>
      <c r="C459" t="s">
        <v>452</v>
      </c>
      <c r="D459" t="s">
        <v>980</v>
      </c>
      <c r="E459" t="s">
        <v>993</v>
      </c>
      <c r="F459" t="s">
        <v>999</v>
      </c>
      <c r="G459">
        <v>6</v>
      </c>
      <c r="H459">
        <v>1000</v>
      </c>
      <c r="I459" t="s">
        <v>1000</v>
      </c>
      <c r="J459">
        <f>Table1[[#This Row],[Quantity]]*Table1[[#This Row],[Price]]*(1-Table1[[#This Row],[Discount]])</f>
        <v>5700</v>
      </c>
      <c r="K459">
        <f>VALUE(SUBSTITUTE(Table1[[#This Row],[Discount]],"%",""))/100</f>
        <v>0.05</v>
      </c>
    </row>
    <row r="460" spans="1:11" x14ac:dyDescent="0.35">
      <c r="A460">
        <v>1458</v>
      </c>
      <c r="B460" s="1">
        <v>45650</v>
      </c>
      <c r="C460" t="s">
        <v>453</v>
      </c>
      <c r="D460" t="s">
        <v>978</v>
      </c>
      <c r="E460" t="s">
        <v>992</v>
      </c>
      <c r="F460" t="s">
        <v>998</v>
      </c>
      <c r="G460">
        <v>6</v>
      </c>
      <c r="H460">
        <v>4500</v>
      </c>
      <c r="I460" t="s">
        <v>1000</v>
      </c>
      <c r="J460">
        <f>Table1[[#This Row],[Quantity]]*Table1[[#This Row],[Price]]*(1-Table1[[#This Row],[Discount]])</f>
        <v>25650</v>
      </c>
      <c r="K460">
        <f>VALUE(SUBSTITUTE(Table1[[#This Row],[Discount]],"%",""))/100</f>
        <v>0.05</v>
      </c>
    </row>
    <row r="461" spans="1:11" x14ac:dyDescent="0.35">
      <c r="A461">
        <v>1459</v>
      </c>
      <c r="B461" s="1">
        <v>45851</v>
      </c>
      <c r="C461" t="s">
        <v>454</v>
      </c>
      <c r="D461" t="s">
        <v>981</v>
      </c>
      <c r="E461" t="s">
        <v>984</v>
      </c>
      <c r="F461" t="s">
        <v>998</v>
      </c>
      <c r="G461">
        <v>5</v>
      </c>
      <c r="H461">
        <v>1000</v>
      </c>
      <c r="I461" t="s">
        <v>1001</v>
      </c>
      <c r="J461">
        <f>Table1[[#This Row],[Quantity]]*Table1[[#This Row],[Price]]*(1-Table1[[#This Row],[Discount]])</f>
        <v>5000</v>
      </c>
      <c r="K461">
        <f>VALUE(SUBSTITUTE(Table1[[#This Row],[Discount]],"%",""))/100</f>
        <v>0</v>
      </c>
    </row>
    <row r="462" spans="1:11" x14ac:dyDescent="0.35">
      <c r="A462">
        <v>1460</v>
      </c>
      <c r="B462" s="1">
        <v>45622</v>
      </c>
      <c r="C462" t="s">
        <v>455</v>
      </c>
      <c r="D462" t="s">
        <v>978</v>
      </c>
      <c r="E462" t="s">
        <v>988</v>
      </c>
      <c r="F462" t="s">
        <v>999</v>
      </c>
      <c r="G462">
        <v>6</v>
      </c>
      <c r="H462">
        <v>250</v>
      </c>
      <c r="I462" t="s">
        <v>1001</v>
      </c>
      <c r="J462">
        <f>Table1[[#This Row],[Quantity]]*Table1[[#This Row],[Price]]*(1-Table1[[#This Row],[Discount]])</f>
        <v>1500</v>
      </c>
      <c r="K462">
        <f>VALUE(SUBSTITUTE(Table1[[#This Row],[Discount]],"%",""))/100</f>
        <v>0</v>
      </c>
    </row>
    <row r="463" spans="1:11" x14ac:dyDescent="0.35">
      <c r="A463">
        <v>1461</v>
      </c>
      <c r="B463" s="1">
        <v>45682</v>
      </c>
      <c r="C463" t="s">
        <v>456</v>
      </c>
      <c r="D463" t="s">
        <v>979</v>
      </c>
      <c r="E463" t="s">
        <v>982</v>
      </c>
      <c r="F463" t="s">
        <v>997</v>
      </c>
      <c r="G463">
        <v>4</v>
      </c>
      <c r="H463">
        <v>500</v>
      </c>
      <c r="I463" t="s">
        <v>1003</v>
      </c>
      <c r="J463">
        <f>Table1[[#This Row],[Quantity]]*Table1[[#This Row],[Price]]*(1-Table1[[#This Row],[Discount]])</f>
        <v>1700</v>
      </c>
      <c r="K463">
        <f>VALUE(SUBSTITUTE(Table1[[#This Row],[Discount]],"%",""))/100</f>
        <v>0.15</v>
      </c>
    </row>
    <row r="464" spans="1:11" x14ac:dyDescent="0.35">
      <c r="A464">
        <v>1462</v>
      </c>
      <c r="B464" s="1">
        <v>45594</v>
      </c>
      <c r="C464" t="s">
        <v>457</v>
      </c>
      <c r="D464" t="s">
        <v>980</v>
      </c>
      <c r="E464" t="s">
        <v>994</v>
      </c>
      <c r="F464" t="s">
        <v>997</v>
      </c>
      <c r="G464">
        <v>2</v>
      </c>
      <c r="H464">
        <v>300</v>
      </c>
      <c r="I464" t="s">
        <v>1001</v>
      </c>
      <c r="J464">
        <f>Table1[[#This Row],[Quantity]]*Table1[[#This Row],[Price]]*(1-Table1[[#This Row],[Discount]])</f>
        <v>600</v>
      </c>
      <c r="K464">
        <f>VALUE(SUBSTITUTE(Table1[[#This Row],[Discount]],"%",""))/100</f>
        <v>0</v>
      </c>
    </row>
    <row r="465" spans="1:11" x14ac:dyDescent="0.35">
      <c r="A465">
        <v>1463</v>
      </c>
      <c r="B465" s="1">
        <v>45693</v>
      </c>
      <c r="C465" t="s">
        <v>458</v>
      </c>
      <c r="D465" t="s">
        <v>978</v>
      </c>
      <c r="E465" t="s">
        <v>985</v>
      </c>
      <c r="F465" t="s">
        <v>998</v>
      </c>
      <c r="G465">
        <v>9</v>
      </c>
      <c r="H465">
        <v>250</v>
      </c>
      <c r="I465" t="s">
        <v>1002</v>
      </c>
      <c r="J465">
        <f>Table1[[#This Row],[Quantity]]*Table1[[#This Row],[Price]]*(1-Table1[[#This Row],[Discount]])</f>
        <v>1800</v>
      </c>
      <c r="K465">
        <f>VALUE(SUBSTITUTE(Table1[[#This Row],[Discount]],"%",""))/100</f>
        <v>0.2</v>
      </c>
    </row>
    <row r="466" spans="1:11" x14ac:dyDescent="0.35">
      <c r="A466">
        <v>1464</v>
      </c>
      <c r="B466" s="1">
        <v>45611</v>
      </c>
      <c r="C466" t="s">
        <v>459</v>
      </c>
      <c r="D466" t="s">
        <v>979</v>
      </c>
      <c r="E466" t="s">
        <v>996</v>
      </c>
      <c r="F466" t="s">
        <v>999</v>
      </c>
      <c r="G466">
        <v>6</v>
      </c>
      <c r="H466">
        <v>100</v>
      </c>
      <c r="I466" t="s">
        <v>1003</v>
      </c>
      <c r="J466">
        <f>Table1[[#This Row],[Quantity]]*Table1[[#This Row],[Price]]*(1-Table1[[#This Row],[Discount]])</f>
        <v>510</v>
      </c>
      <c r="K466">
        <f>VALUE(SUBSTITUTE(Table1[[#This Row],[Discount]],"%",""))/100</f>
        <v>0.15</v>
      </c>
    </row>
    <row r="467" spans="1:11" x14ac:dyDescent="0.35">
      <c r="A467">
        <v>1465</v>
      </c>
      <c r="B467" s="1">
        <v>45843</v>
      </c>
      <c r="C467" t="s">
        <v>460</v>
      </c>
      <c r="D467" t="s">
        <v>979</v>
      </c>
      <c r="E467" t="s">
        <v>995</v>
      </c>
      <c r="F467" t="s">
        <v>997</v>
      </c>
      <c r="G467">
        <v>1</v>
      </c>
      <c r="H467">
        <v>250</v>
      </c>
      <c r="I467" t="s">
        <v>1004</v>
      </c>
      <c r="J467">
        <f>Table1[[#This Row],[Quantity]]*Table1[[#This Row],[Price]]*(1-Table1[[#This Row],[Discount]])</f>
        <v>225</v>
      </c>
      <c r="K467">
        <f>VALUE(SUBSTITUTE(Table1[[#This Row],[Discount]],"%",""))/100</f>
        <v>0.1</v>
      </c>
    </row>
    <row r="468" spans="1:11" x14ac:dyDescent="0.35">
      <c r="A468">
        <v>1466</v>
      </c>
      <c r="B468" s="1">
        <v>45518</v>
      </c>
      <c r="C468" t="s">
        <v>461</v>
      </c>
      <c r="D468" t="s">
        <v>980</v>
      </c>
      <c r="E468" t="s">
        <v>996</v>
      </c>
      <c r="F468" t="s">
        <v>999</v>
      </c>
      <c r="G468">
        <v>7</v>
      </c>
      <c r="H468">
        <v>2500</v>
      </c>
      <c r="I468" t="s">
        <v>1001</v>
      </c>
      <c r="J468">
        <f>Table1[[#This Row],[Quantity]]*Table1[[#This Row],[Price]]*(1-Table1[[#This Row],[Discount]])</f>
        <v>17500</v>
      </c>
      <c r="K468">
        <f>VALUE(SUBSTITUTE(Table1[[#This Row],[Discount]],"%",""))/100</f>
        <v>0</v>
      </c>
    </row>
    <row r="469" spans="1:11" x14ac:dyDescent="0.35">
      <c r="A469">
        <v>1467</v>
      </c>
      <c r="B469" s="1">
        <v>45715</v>
      </c>
      <c r="C469" t="s">
        <v>462</v>
      </c>
      <c r="D469" t="s">
        <v>979</v>
      </c>
      <c r="E469" t="s">
        <v>986</v>
      </c>
      <c r="F469" t="s">
        <v>997</v>
      </c>
      <c r="G469">
        <v>3</v>
      </c>
      <c r="H469">
        <v>1000</v>
      </c>
      <c r="I469" t="s">
        <v>1004</v>
      </c>
      <c r="J469">
        <f>Table1[[#This Row],[Quantity]]*Table1[[#This Row],[Price]]*(1-Table1[[#This Row],[Discount]])</f>
        <v>2700</v>
      </c>
      <c r="K469">
        <f>VALUE(SUBSTITUTE(Table1[[#This Row],[Discount]],"%",""))/100</f>
        <v>0.1</v>
      </c>
    </row>
    <row r="470" spans="1:11" x14ac:dyDescent="0.35">
      <c r="A470">
        <v>1468</v>
      </c>
      <c r="B470" s="1">
        <v>45714</v>
      </c>
      <c r="C470" t="s">
        <v>463</v>
      </c>
      <c r="D470" t="s">
        <v>979</v>
      </c>
      <c r="E470" t="s">
        <v>991</v>
      </c>
      <c r="F470" t="s">
        <v>998</v>
      </c>
      <c r="G470">
        <v>10</v>
      </c>
      <c r="H470">
        <v>2500</v>
      </c>
      <c r="I470" t="s">
        <v>1002</v>
      </c>
      <c r="J470">
        <f>Table1[[#This Row],[Quantity]]*Table1[[#This Row],[Price]]*(1-Table1[[#This Row],[Discount]])</f>
        <v>20000</v>
      </c>
      <c r="K470">
        <f>VALUE(SUBSTITUTE(Table1[[#This Row],[Discount]],"%",""))/100</f>
        <v>0.2</v>
      </c>
    </row>
    <row r="471" spans="1:11" x14ac:dyDescent="0.35">
      <c r="A471">
        <v>1469</v>
      </c>
      <c r="B471" s="1">
        <v>45547</v>
      </c>
      <c r="C471" t="s">
        <v>464</v>
      </c>
      <c r="D471" t="s">
        <v>978</v>
      </c>
      <c r="E471" t="s">
        <v>988</v>
      </c>
      <c r="F471" t="s">
        <v>999</v>
      </c>
      <c r="G471">
        <v>7</v>
      </c>
      <c r="H471">
        <v>300</v>
      </c>
      <c r="I471" t="s">
        <v>1000</v>
      </c>
      <c r="J471">
        <f>Table1[[#This Row],[Quantity]]*Table1[[#This Row],[Price]]*(1-Table1[[#This Row],[Discount]])</f>
        <v>1995</v>
      </c>
      <c r="K471">
        <f>VALUE(SUBSTITUTE(Table1[[#This Row],[Discount]],"%",""))/100</f>
        <v>0.05</v>
      </c>
    </row>
    <row r="472" spans="1:11" x14ac:dyDescent="0.35">
      <c r="A472">
        <v>1470</v>
      </c>
      <c r="B472" s="1">
        <v>45632</v>
      </c>
      <c r="C472" t="s">
        <v>465</v>
      </c>
      <c r="D472" t="s">
        <v>979</v>
      </c>
      <c r="E472" t="s">
        <v>991</v>
      </c>
      <c r="F472" t="s">
        <v>998</v>
      </c>
      <c r="G472">
        <v>1</v>
      </c>
      <c r="H472">
        <v>4500</v>
      </c>
      <c r="I472" t="s">
        <v>1002</v>
      </c>
      <c r="J472">
        <f>Table1[[#This Row],[Quantity]]*Table1[[#This Row],[Price]]*(1-Table1[[#This Row],[Discount]])</f>
        <v>3600</v>
      </c>
      <c r="K472">
        <f>VALUE(SUBSTITUTE(Table1[[#This Row],[Discount]],"%",""))/100</f>
        <v>0.2</v>
      </c>
    </row>
    <row r="473" spans="1:11" x14ac:dyDescent="0.35">
      <c r="A473">
        <v>1471</v>
      </c>
      <c r="B473" s="1">
        <v>45734</v>
      </c>
      <c r="C473" t="s">
        <v>466</v>
      </c>
      <c r="D473" t="s">
        <v>978</v>
      </c>
      <c r="E473" t="s">
        <v>995</v>
      </c>
      <c r="F473" t="s">
        <v>997</v>
      </c>
      <c r="G473">
        <v>8</v>
      </c>
      <c r="H473">
        <v>1500</v>
      </c>
      <c r="I473" t="s">
        <v>1004</v>
      </c>
      <c r="J473">
        <f>Table1[[#This Row],[Quantity]]*Table1[[#This Row],[Price]]*(1-Table1[[#This Row],[Discount]])</f>
        <v>10800</v>
      </c>
      <c r="K473">
        <f>VALUE(SUBSTITUTE(Table1[[#This Row],[Discount]],"%",""))/100</f>
        <v>0.1</v>
      </c>
    </row>
    <row r="474" spans="1:11" x14ac:dyDescent="0.35">
      <c r="A474">
        <v>1472</v>
      </c>
      <c r="B474" s="1">
        <v>45554</v>
      </c>
      <c r="C474" t="s">
        <v>467</v>
      </c>
      <c r="D474" t="s">
        <v>981</v>
      </c>
      <c r="E474" t="s">
        <v>990</v>
      </c>
      <c r="F474" t="s">
        <v>998</v>
      </c>
      <c r="G474">
        <v>6</v>
      </c>
      <c r="H474">
        <v>4500</v>
      </c>
      <c r="I474" t="s">
        <v>1003</v>
      </c>
      <c r="J474">
        <f>Table1[[#This Row],[Quantity]]*Table1[[#This Row],[Price]]*(1-Table1[[#This Row],[Discount]])</f>
        <v>22950</v>
      </c>
      <c r="K474">
        <f>VALUE(SUBSTITUTE(Table1[[#This Row],[Discount]],"%",""))/100</f>
        <v>0.15</v>
      </c>
    </row>
    <row r="475" spans="1:11" x14ac:dyDescent="0.35">
      <c r="A475">
        <v>1473</v>
      </c>
      <c r="B475" s="1">
        <v>45558</v>
      </c>
      <c r="C475" t="s">
        <v>468</v>
      </c>
      <c r="E475" t="s">
        <v>995</v>
      </c>
      <c r="F475" t="s">
        <v>997</v>
      </c>
      <c r="G475">
        <v>6</v>
      </c>
      <c r="H475">
        <v>1500</v>
      </c>
      <c r="I475" t="s">
        <v>1003</v>
      </c>
      <c r="J475">
        <f>Table1[[#This Row],[Quantity]]*Table1[[#This Row],[Price]]*(1-Table1[[#This Row],[Discount]])</f>
        <v>7650</v>
      </c>
      <c r="K475">
        <f>VALUE(SUBSTITUTE(Table1[[#This Row],[Discount]],"%",""))/100</f>
        <v>0.15</v>
      </c>
    </row>
    <row r="476" spans="1:11" x14ac:dyDescent="0.35">
      <c r="A476">
        <v>1474</v>
      </c>
      <c r="B476" s="1">
        <v>45739</v>
      </c>
      <c r="C476" t="s">
        <v>469</v>
      </c>
      <c r="D476" t="s">
        <v>981</v>
      </c>
      <c r="E476" t="s">
        <v>994</v>
      </c>
      <c r="F476" t="s">
        <v>997</v>
      </c>
      <c r="G476">
        <v>5</v>
      </c>
      <c r="H476">
        <v>1500</v>
      </c>
      <c r="I476" t="s">
        <v>1000</v>
      </c>
      <c r="J476">
        <f>Table1[[#This Row],[Quantity]]*Table1[[#This Row],[Price]]*(1-Table1[[#This Row],[Discount]])</f>
        <v>7125</v>
      </c>
      <c r="K476">
        <f>VALUE(SUBSTITUTE(Table1[[#This Row],[Discount]],"%",""))/100</f>
        <v>0.05</v>
      </c>
    </row>
    <row r="477" spans="1:11" x14ac:dyDescent="0.35">
      <c r="A477">
        <v>1475</v>
      </c>
      <c r="B477" s="1">
        <v>45828</v>
      </c>
      <c r="C477" t="s">
        <v>470</v>
      </c>
      <c r="D477" t="s">
        <v>979</v>
      </c>
      <c r="E477" t="s">
        <v>996</v>
      </c>
      <c r="F477" t="s">
        <v>999</v>
      </c>
      <c r="G477">
        <v>9</v>
      </c>
      <c r="H477">
        <v>250</v>
      </c>
      <c r="I477" t="s">
        <v>1000</v>
      </c>
      <c r="J477">
        <f>Table1[[#This Row],[Quantity]]*Table1[[#This Row],[Price]]*(1-Table1[[#This Row],[Discount]])</f>
        <v>2137.5</v>
      </c>
      <c r="K477">
        <f>VALUE(SUBSTITUTE(Table1[[#This Row],[Discount]],"%",""))/100</f>
        <v>0.05</v>
      </c>
    </row>
    <row r="478" spans="1:11" x14ac:dyDescent="0.35">
      <c r="A478">
        <v>1476</v>
      </c>
      <c r="B478" s="1">
        <v>45707</v>
      </c>
      <c r="C478" t="s">
        <v>471</v>
      </c>
      <c r="D478" t="s">
        <v>979</v>
      </c>
      <c r="E478" t="s">
        <v>983</v>
      </c>
      <c r="F478" t="s">
        <v>997</v>
      </c>
      <c r="G478">
        <v>5</v>
      </c>
      <c r="H478">
        <v>250</v>
      </c>
      <c r="I478" t="s">
        <v>1001</v>
      </c>
      <c r="J478">
        <f>Table1[[#This Row],[Quantity]]*Table1[[#This Row],[Price]]*(1-Table1[[#This Row],[Discount]])</f>
        <v>1250</v>
      </c>
      <c r="K478">
        <f>VALUE(SUBSTITUTE(Table1[[#This Row],[Discount]],"%",""))/100</f>
        <v>0</v>
      </c>
    </row>
    <row r="479" spans="1:11" x14ac:dyDescent="0.35">
      <c r="A479">
        <v>1477</v>
      </c>
      <c r="B479" s="1">
        <v>45629</v>
      </c>
      <c r="C479" t="s">
        <v>472</v>
      </c>
      <c r="D479" t="s">
        <v>981</v>
      </c>
      <c r="E479" t="s">
        <v>994</v>
      </c>
      <c r="F479" t="s">
        <v>997</v>
      </c>
      <c r="G479">
        <v>10</v>
      </c>
      <c r="H479">
        <v>500</v>
      </c>
      <c r="I479" t="s">
        <v>1001</v>
      </c>
      <c r="J479">
        <f>Table1[[#This Row],[Quantity]]*Table1[[#This Row],[Price]]*(1-Table1[[#This Row],[Discount]])</f>
        <v>5000</v>
      </c>
      <c r="K479">
        <f>VALUE(SUBSTITUTE(Table1[[#This Row],[Discount]],"%",""))/100</f>
        <v>0</v>
      </c>
    </row>
    <row r="480" spans="1:11" x14ac:dyDescent="0.35">
      <c r="A480">
        <v>1478</v>
      </c>
      <c r="B480" s="1">
        <v>45810</v>
      </c>
      <c r="C480" t="s">
        <v>473</v>
      </c>
      <c r="D480" t="s">
        <v>981</v>
      </c>
      <c r="E480" t="s">
        <v>985</v>
      </c>
      <c r="F480" t="s">
        <v>998</v>
      </c>
      <c r="G480">
        <v>7</v>
      </c>
      <c r="H480">
        <v>500</v>
      </c>
      <c r="I480" t="s">
        <v>1002</v>
      </c>
      <c r="J480">
        <f>Table1[[#This Row],[Quantity]]*Table1[[#This Row],[Price]]*(1-Table1[[#This Row],[Discount]])</f>
        <v>2800</v>
      </c>
      <c r="K480">
        <f>VALUE(SUBSTITUTE(Table1[[#This Row],[Discount]],"%",""))/100</f>
        <v>0.2</v>
      </c>
    </row>
    <row r="481" spans="1:11" x14ac:dyDescent="0.35">
      <c r="A481">
        <v>1479</v>
      </c>
      <c r="B481" s="1">
        <v>45732</v>
      </c>
      <c r="C481" t="s">
        <v>474</v>
      </c>
      <c r="D481" t="s">
        <v>978</v>
      </c>
      <c r="E481" t="s">
        <v>989</v>
      </c>
      <c r="F481" t="s">
        <v>999</v>
      </c>
      <c r="G481">
        <v>1</v>
      </c>
      <c r="H481">
        <v>500</v>
      </c>
      <c r="I481" t="s">
        <v>1002</v>
      </c>
      <c r="J481">
        <f>Table1[[#This Row],[Quantity]]*Table1[[#This Row],[Price]]*(1-Table1[[#This Row],[Discount]])</f>
        <v>400</v>
      </c>
      <c r="K481">
        <f>VALUE(SUBSTITUTE(Table1[[#This Row],[Discount]],"%",""))/100</f>
        <v>0.2</v>
      </c>
    </row>
    <row r="482" spans="1:11" x14ac:dyDescent="0.35">
      <c r="A482">
        <v>1480</v>
      </c>
      <c r="B482" s="1">
        <v>45802</v>
      </c>
      <c r="C482" t="s">
        <v>475</v>
      </c>
      <c r="D482" t="s">
        <v>979</v>
      </c>
      <c r="E482" t="s">
        <v>995</v>
      </c>
      <c r="F482" t="s">
        <v>997</v>
      </c>
      <c r="G482">
        <v>3</v>
      </c>
      <c r="H482">
        <v>4500</v>
      </c>
      <c r="I482" t="s">
        <v>1004</v>
      </c>
      <c r="J482">
        <f>Table1[[#This Row],[Quantity]]*Table1[[#This Row],[Price]]*(1-Table1[[#This Row],[Discount]])</f>
        <v>12150</v>
      </c>
      <c r="K482">
        <f>VALUE(SUBSTITUTE(Table1[[#This Row],[Discount]],"%",""))/100</f>
        <v>0.1</v>
      </c>
    </row>
    <row r="483" spans="1:11" x14ac:dyDescent="0.35">
      <c r="A483">
        <v>1481</v>
      </c>
      <c r="B483" s="1">
        <v>45687</v>
      </c>
      <c r="C483" t="s">
        <v>476</v>
      </c>
      <c r="D483" t="s">
        <v>981</v>
      </c>
      <c r="E483" t="s">
        <v>988</v>
      </c>
      <c r="F483" t="s">
        <v>999</v>
      </c>
      <c r="G483">
        <v>1</v>
      </c>
      <c r="H483">
        <v>500</v>
      </c>
      <c r="I483" t="s">
        <v>1002</v>
      </c>
      <c r="J483">
        <f>Table1[[#This Row],[Quantity]]*Table1[[#This Row],[Price]]*(1-Table1[[#This Row],[Discount]])</f>
        <v>400</v>
      </c>
      <c r="K483">
        <f>VALUE(SUBSTITUTE(Table1[[#This Row],[Discount]],"%",""))/100</f>
        <v>0.2</v>
      </c>
    </row>
    <row r="484" spans="1:11" x14ac:dyDescent="0.35">
      <c r="A484">
        <v>1482</v>
      </c>
      <c r="B484" s="1">
        <v>45827</v>
      </c>
      <c r="C484" t="s">
        <v>477</v>
      </c>
      <c r="D484" t="s">
        <v>978</v>
      </c>
      <c r="E484" t="s">
        <v>985</v>
      </c>
      <c r="F484" t="s">
        <v>998</v>
      </c>
      <c r="G484">
        <v>2</v>
      </c>
      <c r="H484">
        <v>1000</v>
      </c>
      <c r="I484" t="s">
        <v>1004</v>
      </c>
      <c r="J484">
        <f>Table1[[#This Row],[Quantity]]*Table1[[#This Row],[Price]]*(1-Table1[[#This Row],[Discount]])</f>
        <v>1800</v>
      </c>
      <c r="K484">
        <f>VALUE(SUBSTITUTE(Table1[[#This Row],[Discount]],"%",""))/100</f>
        <v>0.1</v>
      </c>
    </row>
    <row r="485" spans="1:11" x14ac:dyDescent="0.35">
      <c r="A485">
        <v>1483</v>
      </c>
      <c r="B485" s="1">
        <v>45723</v>
      </c>
      <c r="C485" t="s">
        <v>184</v>
      </c>
      <c r="D485" t="s">
        <v>980</v>
      </c>
      <c r="E485" t="s">
        <v>991</v>
      </c>
      <c r="F485" t="s">
        <v>998</v>
      </c>
      <c r="G485">
        <v>5</v>
      </c>
      <c r="H485">
        <v>2500</v>
      </c>
      <c r="I485" t="s">
        <v>1000</v>
      </c>
      <c r="J485">
        <f>Table1[[#This Row],[Quantity]]*Table1[[#This Row],[Price]]*(1-Table1[[#This Row],[Discount]])</f>
        <v>11875</v>
      </c>
      <c r="K485">
        <f>VALUE(SUBSTITUTE(Table1[[#This Row],[Discount]],"%",""))/100</f>
        <v>0.05</v>
      </c>
    </row>
    <row r="486" spans="1:11" x14ac:dyDescent="0.35">
      <c r="A486">
        <v>1484</v>
      </c>
      <c r="B486" s="1">
        <v>45622</v>
      </c>
      <c r="C486" t="s">
        <v>478</v>
      </c>
      <c r="D486" t="s">
        <v>978</v>
      </c>
      <c r="E486" t="s">
        <v>989</v>
      </c>
      <c r="F486" t="s">
        <v>999</v>
      </c>
      <c r="G486">
        <v>1</v>
      </c>
      <c r="H486">
        <v>300</v>
      </c>
      <c r="I486" t="s">
        <v>1003</v>
      </c>
      <c r="J486">
        <f>Table1[[#This Row],[Quantity]]*Table1[[#This Row],[Price]]*(1-Table1[[#This Row],[Discount]])</f>
        <v>255</v>
      </c>
      <c r="K486">
        <f>VALUE(SUBSTITUTE(Table1[[#This Row],[Discount]],"%",""))/100</f>
        <v>0.15</v>
      </c>
    </row>
    <row r="487" spans="1:11" x14ac:dyDescent="0.35">
      <c r="A487">
        <v>1485</v>
      </c>
      <c r="B487" s="1">
        <v>45695</v>
      </c>
      <c r="C487" t="s">
        <v>479</v>
      </c>
      <c r="D487" t="s">
        <v>979</v>
      </c>
      <c r="E487" t="s">
        <v>990</v>
      </c>
      <c r="F487" t="s">
        <v>998</v>
      </c>
      <c r="G487">
        <v>3</v>
      </c>
      <c r="H487">
        <v>1500</v>
      </c>
      <c r="I487" t="s">
        <v>1002</v>
      </c>
      <c r="J487">
        <f>Table1[[#This Row],[Quantity]]*Table1[[#This Row],[Price]]*(1-Table1[[#This Row],[Discount]])</f>
        <v>3600</v>
      </c>
      <c r="K487">
        <f>VALUE(SUBSTITUTE(Table1[[#This Row],[Discount]],"%",""))/100</f>
        <v>0.2</v>
      </c>
    </row>
    <row r="488" spans="1:11" x14ac:dyDescent="0.35">
      <c r="A488">
        <v>1486</v>
      </c>
      <c r="B488" s="1">
        <v>45786</v>
      </c>
      <c r="C488" t="s">
        <v>480</v>
      </c>
      <c r="D488" t="s">
        <v>978</v>
      </c>
      <c r="E488" t="s">
        <v>984</v>
      </c>
      <c r="F488" t="s">
        <v>998</v>
      </c>
      <c r="G488">
        <v>8</v>
      </c>
      <c r="H488">
        <v>4500</v>
      </c>
      <c r="I488" t="s">
        <v>1000</v>
      </c>
      <c r="J488">
        <f>Table1[[#This Row],[Quantity]]*Table1[[#This Row],[Price]]*(1-Table1[[#This Row],[Discount]])</f>
        <v>34200</v>
      </c>
      <c r="K488">
        <f>VALUE(SUBSTITUTE(Table1[[#This Row],[Discount]],"%",""))/100</f>
        <v>0.05</v>
      </c>
    </row>
    <row r="489" spans="1:11" x14ac:dyDescent="0.35">
      <c r="A489">
        <v>1487</v>
      </c>
      <c r="B489" s="1">
        <v>45718</v>
      </c>
      <c r="C489" t="s">
        <v>481</v>
      </c>
      <c r="D489" t="s">
        <v>979</v>
      </c>
      <c r="E489" t="s">
        <v>991</v>
      </c>
      <c r="F489" t="s">
        <v>998</v>
      </c>
      <c r="G489">
        <v>10</v>
      </c>
      <c r="H489">
        <v>300</v>
      </c>
      <c r="I489" t="s">
        <v>1000</v>
      </c>
      <c r="J489">
        <f>Table1[[#This Row],[Quantity]]*Table1[[#This Row],[Price]]*(1-Table1[[#This Row],[Discount]])</f>
        <v>2850</v>
      </c>
      <c r="K489">
        <f>VALUE(SUBSTITUTE(Table1[[#This Row],[Discount]],"%",""))/100</f>
        <v>0.05</v>
      </c>
    </row>
    <row r="490" spans="1:11" x14ac:dyDescent="0.35">
      <c r="A490">
        <v>1488</v>
      </c>
      <c r="B490" s="1">
        <v>45622</v>
      </c>
      <c r="C490" t="s">
        <v>482</v>
      </c>
      <c r="D490" t="s">
        <v>979</v>
      </c>
      <c r="E490" t="s">
        <v>991</v>
      </c>
      <c r="F490" t="s">
        <v>998</v>
      </c>
      <c r="G490">
        <v>7</v>
      </c>
      <c r="H490">
        <v>100</v>
      </c>
      <c r="I490" t="s">
        <v>1004</v>
      </c>
      <c r="J490">
        <f>Table1[[#This Row],[Quantity]]*Table1[[#This Row],[Price]]*(1-Table1[[#This Row],[Discount]])</f>
        <v>630</v>
      </c>
      <c r="K490">
        <f>VALUE(SUBSTITUTE(Table1[[#This Row],[Discount]],"%",""))/100</f>
        <v>0.1</v>
      </c>
    </row>
    <row r="491" spans="1:11" x14ac:dyDescent="0.35">
      <c r="A491">
        <v>1489</v>
      </c>
      <c r="B491" s="1">
        <v>45713</v>
      </c>
      <c r="C491" t="s">
        <v>483</v>
      </c>
      <c r="D491" t="s">
        <v>978</v>
      </c>
      <c r="E491" t="s">
        <v>988</v>
      </c>
      <c r="F491" t="s">
        <v>999</v>
      </c>
      <c r="G491">
        <v>4</v>
      </c>
      <c r="H491">
        <v>2500</v>
      </c>
      <c r="I491" t="s">
        <v>1002</v>
      </c>
      <c r="J491">
        <f>Table1[[#This Row],[Quantity]]*Table1[[#This Row],[Price]]*(1-Table1[[#This Row],[Discount]])</f>
        <v>8000</v>
      </c>
      <c r="K491">
        <f>VALUE(SUBSTITUTE(Table1[[#This Row],[Discount]],"%",""))/100</f>
        <v>0.2</v>
      </c>
    </row>
    <row r="492" spans="1:11" x14ac:dyDescent="0.35">
      <c r="A492">
        <v>1490</v>
      </c>
      <c r="B492" s="1">
        <v>45750</v>
      </c>
      <c r="C492" t="s">
        <v>484</v>
      </c>
      <c r="D492" t="s">
        <v>980</v>
      </c>
      <c r="E492" t="s">
        <v>995</v>
      </c>
      <c r="F492" t="s">
        <v>997</v>
      </c>
      <c r="G492">
        <v>5</v>
      </c>
      <c r="H492">
        <v>300</v>
      </c>
      <c r="I492" t="s">
        <v>1004</v>
      </c>
      <c r="J492">
        <f>Table1[[#This Row],[Quantity]]*Table1[[#This Row],[Price]]*(1-Table1[[#This Row],[Discount]])</f>
        <v>1350</v>
      </c>
      <c r="K492">
        <f>VALUE(SUBSTITUTE(Table1[[#This Row],[Discount]],"%",""))/100</f>
        <v>0.1</v>
      </c>
    </row>
    <row r="493" spans="1:11" x14ac:dyDescent="0.35">
      <c r="A493">
        <v>1491</v>
      </c>
      <c r="B493" s="1">
        <v>45596</v>
      </c>
      <c r="C493" t="s">
        <v>485</v>
      </c>
      <c r="D493" t="s">
        <v>980</v>
      </c>
      <c r="E493" t="s">
        <v>992</v>
      </c>
      <c r="F493" t="s">
        <v>998</v>
      </c>
      <c r="G493">
        <v>1</v>
      </c>
      <c r="H493">
        <v>500</v>
      </c>
      <c r="I493" t="s">
        <v>1002</v>
      </c>
      <c r="J493">
        <f>Table1[[#This Row],[Quantity]]*Table1[[#This Row],[Price]]*(1-Table1[[#This Row],[Discount]])</f>
        <v>400</v>
      </c>
      <c r="K493">
        <f>VALUE(SUBSTITUTE(Table1[[#This Row],[Discount]],"%",""))/100</f>
        <v>0.2</v>
      </c>
    </row>
    <row r="494" spans="1:11" x14ac:dyDescent="0.35">
      <c r="A494">
        <v>1492</v>
      </c>
      <c r="B494" s="1">
        <v>45616</v>
      </c>
      <c r="C494" t="s">
        <v>486</v>
      </c>
      <c r="D494" t="s">
        <v>980</v>
      </c>
      <c r="E494" t="s">
        <v>995</v>
      </c>
      <c r="F494" t="s">
        <v>997</v>
      </c>
      <c r="G494">
        <v>1</v>
      </c>
      <c r="H494">
        <v>250</v>
      </c>
      <c r="I494" t="s">
        <v>1001</v>
      </c>
      <c r="J494">
        <f>Table1[[#This Row],[Quantity]]*Table1[[#This Row],[Price]]*(1-Table1[[#This Row],[Discount]])</f>
        <v>250</v>
      </c>
      <c r="K494">
        <f>VALUE(SUBSTITUTE(Table1[[#This Row],[Discount]],"%",""))/100</f>
        <v>0</v>
      </c>
    </row>
    <row r="495" spans="1:11" x14ac:dyDescent="0.35">
      <c r="A495">
        <v>1493</v>
      </c>
      <c r="B495" s="1">
        <v>45690</v>
      </c>
      <c r="C495" t="s">
        <v>487</v>
      </c>
      <c r="D495" t="s">
        <v>979</v>
      </c>
      <c r="E495" t="s">
        <v>984</v>
      </c>
      <c r="F495" t="s">
        <v>998</v>
      </c>
      <c r="G495">
        <v>9</v>
      </c>
      <c r="H495">
        <v>2500</v>
      </c>
      <c r="I495" t="s">
        <v>1004</v>
      </c>
      <c r="J495">
        <f>Table1[[#This Row],[Quantity]]*Table1[[#This Row],[Price]]*(1-Table1[[#This Row],[Discount]])</f>
        <v>20250</v>
      </c>
      <c r="K495">
        <f>VALUE(SUBSTITUTE(Table1[[#This Row],[Discount]],"%",""))/100</f>
        <v>0.1</v>
      </c>
    </row>
    <row r="496" spans="1:11" x14ac:dyDescent="0.35">
      <c r="A496">
        <v>1494</v>
      </c>
      <c r="B496" s="1">
        <v>45809</v>
      </c>
      <c r="C496" t="s">
        <v>488</v>
      </c>
      <c r="D496" t="s">
        <v>978</v>
      </c>
      <c r="E496" t="s">
        <v>996</v>
      </c>
      <c r="F496" t="s">
        <v>999</v>
      </c>
      <c r="G496">
        <v>6</v>
      </c>
      <c r="H496">
        <v>250</v>
      </c>
      <c r="I496" t="s">
        <v>1003</v>
      </c>
      <c r="J496">
        <f>Table1[[#This Row],[Quantity]]*Table1[[#This Row],[Price]]*(1-Table1[[#This Row],[Discount]])</f>
        <v>1275</v>
      </c>
      <c r="K496">
        <f>VALUE(SUBSTITUTE(Table1[[#This Row],[Discount]],"%",""))/100</f>
        <v>0.15</v>
      </c>
    </row>
    <row r="497" spans="1:11" x14ac:dyDescent="0.35">
      <c r="A497">
        <v>1495</v>
      </c>
      <c r="B497" s="1">
        <v>45711</v>
      </c>
      <c r="C497" t="s">
        <v>489</v>
      </c>
      <c r="E497" t="s">
        <v>985</v>
      </c>
      <c r="F497" t="s">
        <v>998</v>
      </c>
      <c r="G497">
        <v>10</v>
      </c>
      <c r="H497">
        <v>1354.67</v>
      </c>
      <c r="I497" t="s">
        <v>1004</v>
      </c>
      <c r="J497">
        <f>Table1[[#This Row],[Quantity]]*Table1[[#This Row],[Price]]*(1-Table1[[#This Row],[Discount]])</f>
        <v>12192.03</v>
      </c>
      <c r="K497">
        <f>VALUE(SUBSTITUTE(Table1[[#This Row],[Discount]],"%",""))/100</f>
        <v>0.1</v>
      </c>
    </row>
    <row r="498" spans="1:11" x14ac:dyDescent="0.35">
      <c r="A498">
        <v>1496</v>
      </c>
      <c r="B498" s="1">
        <v>45801</v>
      </c>
      <c r="C498" t="s">
        <v>490</v>
      </c>
      <c r="D498" t="s">
        <v>978</v>
      </c>
      <c r="E498" t="s">
        <v>982</v>
      </c>
      <c r="F498" t="s">
        <v>997</v>
      </c>
      <c r="G498">
        <v>9</v>
      </c>
      <c r="H498">
        <v>100</v>
      </c>
      <c r="I498" t="s">
        <v>1003</v>
      </c>
      <c r="J498">
        <f>Table1[[#This Row],[Quantity]]*Table1[[#This Row],[Price]]*(1-Table1[[#This Row],[Discount]])</f>
        <v>765</v>
      </c>
      <c r="K498">
        <f>VALUE(SUBSTITUTE(Table1[[#This Row],[Discount]],"%",""))/100</f>
        <v>0.15</v>
      </c>
    </row>
    <row r="499" spans="1:11" x14ac:dyDescent="0.35">
      <c r="A499">
        <v>1497</v>
      </c>
      <c r="B499" s="1">
        <v>45778</v>
      </c>
      <c r="C499" t="s">
        <v>491</v>
      </c>
      <c r="D499" t="s">
        <v>980</v>
      </c>
      <c r="E499" t="s">
        <v>984</v>
      </c>
      <c r="F499" t="s">
        <v>998</v>
      </c>
      <c r="G499">
        <v>10</v>
      </c>
      <c r="H499">
        <v>1000</v>
      </c>
      <c r="I499" t="s">
        <v>1004</v>
      </c>
      <c r="J499">
        <f>Table1[[#This Row],[Quantity]]*Table1[[#This Row],[Price]]*(1-Table1[[#This Row],[Discount]])</f>
        <v>9000</v>
      </c>
      <c r="K499">
        <f>VALUE(SUBSTITUTE(Table1[[#This Row],[Discount]],"%",""))/100</f>
        <v>0.1</v>
      </c>
    </row>
    <row r="500" spans="1:11" x14ac:dyDescent="0.35">
      <c r="A500">
        <v>1498</v>
      </c>
      <c r="B500" s="1">
        <v>45791</v>
      </c>
      <c r="C500" t="s">
        <v>492</v>
      </c>
      <c r="D500" t="s">
        <v>981</v>
      </c>
      <c r="E500" t="s">
        <v>988</v>
      </c>
      <c r="F500" t="s">
        <v>999</v>
      </c>
      <c r="G500">
        <v>7</v>
      </c>
      <c r="H500">
        <v>4500</v>
      </c>
      <c r="I500" t="s">
        <v>1000</v>
      </c>
      <c r="J500">
        <f>Table1[[#This Row],[Quantity]]*Table1[[#This Row],[Price]]*(1-Table1[[#This Row],[Discount]])</f>
        <v>29925</v>
      </c>
      <c r="K500">
        <f>VALUE(SUBSTITUTE(Table1[[#This Row],[Discount]],"%",""))/100</f>
        <v>0.05</v>
      </c>
    </row>
    <row r="501" spans="1:11" x14ac:dyDescent="0.35">
      <c r="A501">
        <v>1499</v>
      </c>
      <c r="B501" s="1">
        <v>45863</v>
      </c>
      <c r="C501" t="s">
        <v>493</v>
      </c>
      <c r="D501" t="s">
        <v>978</v>
      </c>
      <c r="E501" t="s">
        <v>986</v>
      </c>
      <c r="F501" t="s">
        <v>997</v>
      </c>
      <c r="G501">
        <v>7</v>
      </c>
      <c r="H501">
        <v>300</v>
      </c>
      <c r="I501" t="s">
        <v>1001</v>
      </c>
      <c r="J501">
        <f>Table1[[#This Row],[Quantity]]*Table1[[#This Row],[Price]]*(1-Table1[[#This Row],[Discount]])</f>
        <v>2100</v>
      </c>
      <c r="K501">
        <f>VALUE(SUBSTITUTE(Table1[[#This Row],[Discount]],"%",""))/100</f>
        <v>0</v>
      </c>
    </row>
    <row r="502" spans="1:11" x14ac:dyDescent="0.35">
      <c r="A502">
        <v>1500</v>
      </c>
      <c r="B502" s="1">
        <v>45788</v>
      </c>
      <c r="C502" t="s">
        <v>494</v>
      </c>
      <c r="D502" t="s">
        <v>979</v>
      </c>
      <c r="E502" t="s">
        <v>991</v>
      </c>
      <c r="F502" t="s">
        <v>998</v>
      </c>
      <c r="G502">
        <v>7</v>
      </c>
      <c r="H502">
        <v>1354.67</v>
      </c>
      <c r="I502" t="s">
        <v>1002</v>
      </c>
      <c r="J502">
        <f>Table1[[#This Row],[Quantity]]*Table1[[#This Row],[Price]]*(1-Table1[[#This Row],[Discount]])</f>
        <v>7586.152000000001</v>
      </c>
      <c r="K502">
        <f>VALUE(SUBSTITUTE(Table1[[#This Row],[Discount]],"%",""))/100</f>
        <v>0.2</v>
      </c>
    </row>
    <row r="503" spans="1:11" x14ac:dyDescent="0.35">
      <c r="A503">
        <v>1501</v>
      </c>
      <c r="B503" s="1">
        <v>45707</v>
      </c>
      <c r="C503" t="s">
        <v>495</v>
      </c>
      <c r="D503" t="s">
        <v>979</v>
      </c>
      <c r="E503" t="s">
        <v>990</v>
      </c>
      <c r="F503" t="s">
        <v>998</v>
      </c>
      <c r="G503">
        <v>8</v>
      </c>
      <c r="H503">
        <v>2500</v>
      </c>
      <c r="I503" t="s">
        <v>1001</v>
      </c>
      <c r="J503">
        <f>Table1[[#This Row],[Quantity]]*Table1[[#This Row],[Price]]*(1-Table1[[#This Row],[Discount]])</f>
        <v>20000</v>
      </c>
      <c r="K503">
        <f>VALUE(SUBSTITUTE(Table1[[#This Row],[Discount]],"%",""))/100</f>
        <v>0</v>
      </c>
    </row>
    <row r="504" spans="1:11" x14ac:dyDescent="0.35">
      <c r="A504">
        <v>1502</v>
      </c>
      <c r="B504" s="1">
        <v>45629</v>
      </c>
      <c r="C504" t="s">
        <v>496</v>
      </c>
      <c r="D504" t="s">
        <v>979</v>
      </c>
      <c r="E504" t="s">
        <v>994</v>
      </c>
      <c r="F504" t="s">
        <v>997</v>
      </c>
      <c r="G504">
        <v>7</v>
      </c>
      <c r="H504">
        <v>1000</v>
      </c>
      <c r="I504" t="s">
        <v>1002</v>
      </c>
      <c r="J504">
        <f>Table1[[#This Row],[Quantity]]*Table1[[#This Row],[Price]]*(1-Table1[[#This Row],[Discount]])</f>
        <v>5600</v>
      </c>
      <c r="K504">
        <f>VALUE(SUBSTITUTE(Table1[[#This Row],[Discount]],"%",""))/100</f>
        <v>0.2</v>
      </c>
    </row>
    <row r="505" spans="1:11" x14ac:dyDescent="0.35">
      <c r="A505">
        <v>1503</v>
      </c>
      <c r="B505" s="1">
        <v>45503</v>
      </c>
      <c r="C505" t="s">
        <v>497</v>
      </c>
      <c r="D505" t="s">
        <v>979</v>
      </c>
      <c r="E505" t="s">
        <v>987</v>
      </c>
      <c r="F505" t="s">
        <v>999</v>
      </c>
      <c r="G505">
        <v>4</v>
      </c>
      <c r="H505">
        <v>1000</v>
      </c>
      <c r="I505" t="s">
        <v>1000</v>
      </c>
      <c r="J505">
        <f>Table1[[#This Row],[Quantity]]*Table1[[#This Row],[Price]]*(1-Table1[[#This Row],[Discount]])</f>
        <v>3800</v>
      </c>
      <c r="K505">
        <f>VALUE(SUBSTITUTE(Table1[[#This Row],[Discount]],"%",""))/100</f>
        <v>0.05</v>
      </c>
    </row>
    <row r="506" spans="1:11" x14ac:dyDescent="0.35">
      <c r="A506">
        <v>1504</v>
      </c>
      <c r="B506" s="1">
        <v>45754</v>
      </c>
      <c r="C506" t="s">
        <v>498</v>
      </c>
      <c r="D506" t="s">
        <v>979</v>
      </c>
      <c r="E506" t="s">
        <v>983</v>
      </c>
      <c r="F506" t="s">
        <v>997</v>
      </c>
      <c r="G506">
        <v>1</v>
      </c>
      <c r="H506">
        <v>1500</v>
      </c>
      <c r="I506" t="s">
        <v>1000</v>
      </c>
      <c r="J506">
        <f>Table1[[#This Row],[Quantity]]*Table1[[#This Row],[Price]]*(1-Table1[[#This Row],[Discount]])</f>
        <v>1425</v>
      </c>
      <c r="K506">
        <f>VALUE(SUBSTITUTE(Table1[[#This Row],[Discount]],"%",""))/100</f>
        <v>0.05</v>
      </c>
    </row>
    <row r="507" spans="1:11" x14ac:dyDescent="0.35">
      <c r="A507">
        <v>1505</v>
      </c>
      <c r="B507" s="1">
        <v>45578</v>
      </c>
      <c r="C507" t="s">
        <v>499</v>
      </c>
      <c r="D507" t="s">
        <v>978</v>
      </c>
      <c r="E507" t="s">
        <v>993</v>
      </c>
      <c r="F507" t="s">
        <v>999</v>
      </c>
      <c r="G507">
        <v>7</v>
      </c>
      <c r="H507">
        <v>2500</v>
      </c>
      <c r="I507" t="s">
        <v>1002</v>
      </c>
      <c r="J507">
        <f>Table1[[#This Row],[Quantity]]*Table1[[#This Row],[Price]]*(1-Table1[[#This Row],[Discount]])</f>
        <v>14000</v>
      </c>
      <c r="K507">
        <f>VALUE(SUBSTITUTE(Table1[[#This Row],[Discount]],"%",""))/100</f>
        <v>0.2</v>
      </c>
    </row>
    <row r="508" spans="1:11" x14ac:dyDescent="0.35">
      <c r="A508">
        <v>1506</v>
      </c>
      <c r="B508" s="1">
        <v>45523</v>
      </c>
      <c r="C508" t="s">
        <v>500</v>
      </c>
      <c r="D508" t="s">
        <v>981</v>
      </c>
      <c r="E508" t="s">
        <v>991</v>
      </c>
      <c r="F508" t="s">
        <v>998</v>
      </c>
      <c r="G508">
        <v>5</v>
      </c>
      <c r="H508">
        <v>1500</v>
      </c>
      <c r="I508" t="s">
        <v>1004</v>
      </c>
      <c r="J508">
        <f>Table1[[#This Row],[Quantity]]*Table1[[#This Row],[Price]]*(1-Table1[[#This Row],[Discount]])</f>
        <v>6750</v>
      </c>
      <c r="K508">
        <f>VALUE(SUBSTITUTE(Table1[[#This Row],[Discount]],"%",""))/100</f>
        <v>0.1</v>
      </c>
    </row>
    <row r="509" spans="1:11" x14ac:dyDescent="0.35">
      <c r="A509">
        <v>1507</v>
      </c>
      <c r="B509" s="1">
        <v>45708</v>
      </c>
      <c r="C509" t="s">
        <v>501</v>
      </c>
      <c r="D509" t="s">
        <v>980</v>
      </c>
      <c r="E509" t="s">
        <v>989</v>
      </c>
      <c r="F509" t="s">
        <v>999</v>
      </c>
      <c r="G509">
        <v>1</v>
      </c>
      <c r="H509">
        <v>1000</v>
      </c>
      <c r="I509" t="s">
        <v>1000</v>
      </c>
      <c r="J509">
        <f>Table1[[#This Row],[Quantity]]*Table1[[#This Row],[Price]]*(1-Table1[[#This Row],[Discount]])</f>
        <v>950</v>
      </c>
      <c r="K509">
        <f>VALUE(SUBSTITUTE(Table1[[#This Row],[Discount]],"%",""))/100</f>
        <v>0.05</v>
      </c>
    </row>
    <row r="510" spans="1:11" x14ac:dyDescent="0.35">
      <c r="A510">
        <v>1508</v>
      </c>
      <c r="B510" s="1">
        <v>45858</v>
      </c>
      <c r="C510" t="s">
        <v>502</v>
      </c>
      <c r="D510" t="s">
        <v>981</v>
      </c>
      <c r="E510" t="s">
        <v>987</v>
      </c>
      <c r="F510" t="s">
        <v>999</v>
      </c>
      <c r="G510">
        <v>9</v>
      </c>
      <c r="H510">
        <v>1000</v>
      </c>
      <c r="I510" t="s">
        <v>1002</v>
      </c>
      <c r="J510">
        <f>Table1[[#This Row],[Quantity]]*Table1[[#This Row],[Price]]*(1-Table1[[#This Row],[Discount]])</f>
        <v>7200</v>
      </c>
      <c r="K510">
        <f>VALUE(SUBSTITUTE(Table1[[#This Row],[Discount]],"%",""))/100</f>
        <v>0.2</v>
      </c>
    </row>
    <row r="511" spans="1:11" x14ac:dyDescent="0.35">
      <c r="A511">
        <v>1509</v>
      </c>
      <c r="B511" s="1">
        <v>45858</v>
      </c>
      <c r="C511" t="s">
        <v>503</v>
      </c>
      <c r="D511" t="s">
        <v>979</v>
      </c>
      <c r="E511" t="s">
        <v>985</v>
      </c>
      <c r="F511" t="s">
        <v>998</v>
      </c>
      <c r="G511">
        <v>8</v>
      </c>
      <c r="H511">
        <v>4500</v>
      </c>
      <c r="I511" t="s">
        <v>1002</v>
      </c>
      <c r="J511">
        <f>Table1[[#This Row],[Quantity]]*Table1[[#This Row],[Price]]*(1-Table1[[#This Row],[Discount]])</f>
        <v>28800</v>
      </c>
      <c r="K511">
        <f>VALUE(SUBSTITUTE(Table1[[#This Row],[Discount]],"%",""))/100</f>
        <v>0.2</v>
      </c>
    </row>
    <row r="512" spans="1:11" x14ac:dyDescent="0.35">
      <c r="A512">
        <v>1510</v>
      </c>
      <c r="B512" s="1">
        <v>45573</v>
      </c>
      <c r="C512" t="s">
        <v>504</v>
      </c>
      <c r="D512" t="s">
        <v>979</v>
      </c>
      <c r="E512" t="s">
        <v>990</v>
      </c>
      <c r="F512" t="s">
        <v>998</v>
      </c>
      <c r="G512">
        <v>6</v>
      </c>
      <c r="H512">
        <v>2500</v>
      </c>
      <c r="I512" t="s">
        <v>1004</v>
      </c>
      <c r="J512">
        <f>Table1[[#This Row],[Quantity]]*Table1[[#This Row],[Price]]*(1-Table1[[#This Row],[Discount]])</f>
        <v>13500</v>
      </c>
      <c r="K512">
        <f>VALUE(SUBSTITUTE(Table1[[#This Row],[Discount]],"%",""))/100</f>
        <v>0.1</v>
      </c>
    </row>
    <row r="513" spans="1:11" x14ac:dyDescent="0.35">
      <c r="A513">
        <v>1511</v>
      </c>
      <c r="B513" s="1">
        <v>45841</v>
      </c>
      <c r="C513" t="s">
        <v>505</v>
      </c>
      <c r="D513" t="s">
        <v>981</v>
      </c>
      <c r="E513" t="s">
        <v>993</v>
      </c>
      <c r="F513" t="s">
        <v>999</v>
      </c>
      <c r="G513">
        <v>2</v>
      </c>
      <c r="H513">
        <v>300</v>
      </c>
      <c r="I513" t="s">
        <v>1003</v>
      </c>
      <c r="J513">
        <f>Table1[[#This Row],[Quantity]]*Table1[[#This Row],[Price]]*(1-Table1[[#This Row],[Discount]])</f>
        <v>510</v>
      </c>
      <c r="K513">
        <f>VALUE(SUBSTITUTE(Table1[[#This Row],[Discount]],"%",""))/100</f>
        <v>0.15</v>
      </c>
    </row>
    <row r="514" spans="1:11" x14ac:dyDescent="0.35">
      <c r="A514">
        <v>1512</v>
      </c>
      <c r="B514" s="1">
        <v>45861</v>
      </c>
      <c r="C514" t="s">
        <v>506</v>
      </c>
      <c r="D514" t="s">
        <v>978</v>
      </c>
      <c r="E514" t="s">
        <v>983</v>
      </c>
      <c r="F514" t="s">
        <v>997</v>
      </c>
      <c r="G514">
        <v>8</v>
      </c>
      <c r="H514">
        <v>500</v>
      </c>
      <c r="I514" t="s">
        <v>1000</v>
      </c>
      <c r="J514">
        <f>Table1[[#This Row],[Quantity]]*Table1[[#This Row],[Price]]*(1-Table1[[#This Row],[Discount]])</f>
        <v>3800</v>
      </c>
      <c r="K514">
        <f>VALUE(SUBSTITUTE(Table1[[#This Row],[Discount]],"%",""))/100</f>
        <v>0.05</v>
      </c>
    </row>
    <row r="515" spans="1:11" x14ac:dyDescent="0.35">
      <c r="A515">
        <v>1513</v>
      </c>
      <c r="B515" s="1">
        <v>45692</v>
      </c>
      <c r="C515" t="s">
        <v>507</v>
      </c>
      <c r="D515" t="s">
        <v>979</v>
      </c>
      <c r="E515" t="s">
        <v>991</v>
      </c>
      <c r="F515" t="s">
        <v>998</v>
      </c>
      <c r="G515">
        <v>6</v>
      </c>
      <c r="H515">
        <v>300</v>
      </c>
      <c r="I515" t="s">
        <v>1001</v>
      </c>
      <c r="J515">
        <f>Table1[[#This Row],[Quantity]]*Table1[[#This Row],[Price]]*(1-Table1[[#This Row],[Discount]])</f>
        <v>1800</v>
      </c>
      <c r="K515">
        <f>VALUE(SUBSTITUTE(Table1[[#This Row],[Discount]],"%",""))/100</f>
        <v>0</v>
      </c>
    </row>
    <row r="516" spans="1:11" x14ac:dyDescent="0.35">
      <c r="A516">
        <v>1514</v>
      </c>
      <c r="B516" s="1">
        <v>45606</v>
      </c>
      <c r="C516" t="s">
        <v>508</v>
      </c>
      <c r="D516" t="s">
        <v>981</v>
      </c>
      <c r="E516" t="s">
        <v>982</v>
      </c>
      <c r="F516" t="s">
        <v>997</v>
      </c>
      <c r="G516">
        <v>9</v>
      </c>
      <c r="H516">
        <v>100</v>
      </c>
      <c r="I516" t="s">
        <v>1003</v>
      </c>
      <c r="J516">
        <f>Table1[[#This Row],[Quantity]]*Table1[[#This Row],[Price]]*(1-Table1[[#This Row],[Discount]])</f>
        <v>765</v>
      </c>
      <c r="K516">
        <f>VALUE(SUBSTITUTE(Table1[[#This Row],[Discount]],"%",""))/100</f>
        <v>0.15</v>
      </c>
    </row>
    <row r="517" spans="1:11" x14ac:dyDescent="0.35">
      <c r="A517">
        <v>1515</v>
      </c>
      <c r="B517" s="1">
        <v>45679</v>
      </c>
      <c r="C517" t="s">
        <v>509</v>
      </c>
      <c r="D517" t="s">
        <v>981</v>
      </c>
      <c r="E517" t="s">
        <v>986</v>
      </c>
      <c r="F517" t="s">
        <v>997</v>
      </c>
      <c r="G517">
        <v>8</v>
      </c>
      <c r="H517">
        <v>300</v>
      </c>
      <c r="I517" t="s">
        <v>1002</v>
      </c>
      <c r="J517">
        <f>Table1[[#This Row],[Quantity]]*Table1[[#This Row],[Price]]*(1-Table1[[#This Row],[Discount]])</f>
        <v>1920</v>
      </c>
      <c r="K517">
        <f>VALUE(SUBSTITUTE(Table1[[#This Row],[Discount]],"%",""))/100</f>
        <v>0.2</v>
      </c>
    </row>
    <row r="518" spans="1:11" x14ac:dyDescent="0.35">
      <c r="A518">
        <v>1516</v>
      </c>
      <c r="B518" s="1">
        <v>45631</v>
      </c>
      <c r="C518" t="s">
        <v>510</v>
      </c>
      <c r="D518" t="s">
        <v>981</v>
      </c>
      <c r="E518" t="s">
        <v>994</v>
      </c>
      <c r="F518" t="s">
        <v>997</v>
      </c>
      <c r="G518">
        <v>8</v>
      </c>
      <c r="H518">
        <v>100</v>
      </c>
      <c r="I518" t="s">
        <v>1002</v>
      </c>
      <c r="J518">
        <f>Table1[[#This Row],[Quantity]]*Table1[[#This Row],[Price]]*(1-Table1[[#This Row],[Discount]])</f>
        <v>640</v>
      </c>
      <c r="K518">
        <f>VALUE(SUBSTITUTE(Table1[[#This Row],[Discount]],"%",""))/100</f>
        <v>0.2</v>
      </c>
    </row>
    <row r="519" spans="1:11" x14ac:dyDescent="0.35">
      <c r="A519">
        <v>1517</v>
      </c>
      <c r="B519" s="1">
        <v>45569</v>
      </c>
      <c r="C519" t="s">
        <v>511</v>
      </c>
      <c r="D519" t="s">
        <v>979</v>
      </c>
      <c r="E519" t="s">
        <v>991</v>
      </c>
      <c r="F519" t="s">
        <v>998</v>
      </c>
      <c r="G519">
        <v>8</v>
      </c>
      <c r="H519">
        <v>1500</v>
      </c>
      <c r="I519" t="s">
        <v>1001</v>
      </c>
      <c r="J519">
        <f>Table1[[#This Row],[Quantity]]*Table1[[#This Row],[Price]]*(1-Table1[[#This Row],[Discount]])</f>
        <v>12000</v>
      </c>
      <c r="K519">
        <f>VALUE(SUBSTITUTE(Table1[[#This Row],[Discount]],"%",""))/100</f>
        <v>0</v>
      </c>
    </row>
    <row r="520" spans="1:11" x14ac:dyDescent="0.35">
      <c r="A520">
        <v>1518</v>
      </c>
      <c r="B520" s="1">
        <v>45667</v>
      </c>
      <c r="C520" t="s">
        <v>512</v>
      </c>
      <c r="D520" t="s">
        <v>981</v>
      </c>
      <c r="E520" t="s">
        <v>989</v>
      </c>
      <c r="F520" t="s">
        <v>999</v>
      </c>
      <c r="G520">
        <v>5</v>
      </c>
      <c r="H520">
        <v>300</v>
      </c>
      <c r="I520" t="s">
        <v>1002</v>
      </c>
      <c r="J520">
        <f>Table1[[#This Row],[Quantity]]*Table1[[#This Row],[Price]]*(1-Table1[[#This Row],[Discount]])</f>
        <v>1200</v>
      </c>
      <c r="K520">
        <f>VALUE(SUBSTITUTE(Table1[[#This Row],[Discount]],"%",""))/100</f>
        <v>0.2</v>
      </c>
    </row>
    <row r="521" spans="1:11" x14ac:dyDescent="0.35">
      <c r="A521">
        <v>1519</v>
      </c>
      <c r="B521" s="1">
        <v>45572</v>
      </c>
      <c r="C521" t="s">
        <v>513</v>
      </c>
      <c r="D521" t="s">
        <v>980</v>
      </c>
      <c r="E521" t="s">
        <v>988</v>
      </c>
      <c r="F521" t="s">
        <v>999</v>
      </c>
      <c r="G521">
        <v>8</v>
      </c>
      <c r="H521">
        <v>2500</v>
      </c>
      <c r="I521" t="s">
        <v>1000</v>
      </c>
      <c r="J521">
        <f>Table1[[#This Row],[Quantity]]*Table1[[#This Row],[Price]]*(1-Table1[[#This Row],[Discount]])</f>
        <v>19000</v>
      </c>
      <c r="K521">
        <f>VALUE(SUBSTITUTE(Table1[[#This Row],[Discount]],"%",""))/100</f>
        <v>0.05</v>
      </c>
    </row>
    <row r="522" spans="1:11" x14ac:dyDescent="0.35">
      <c r="A522">
        <v>1520</v>
      </c>
      <c r="B522" s="1">
        <v>45649</v>
      </c>
      <c r="C522" t="s">
        <v>514</v>
      </c>
      <c r="D522" t="s">
        <v>978</v>
      </c>
      <c r="E522" t="s">
        <v>996</v>
      </c>
      <c r="F522" t="s">
        <v>999</v>
      </c>
      <c r="G522">
        <v>3</v>
      </c>
      <c r="H522">
        <v>300</v>
      </c>
      <c r="I522" t="s">
        <v>1002</v>
      </c>
      <c r="J522">
        <f>Table1[[#This Row],[Quantity]]*Table1[[#This Row],[Price]]*(1-Table1[[#This Row],[Discount]])</f>
        <v>720</v>
      </c>
      <c r="K522">
        <f>VALUE(SUBSTITUTE(Table1[[#This Row],[Discount]],"%",""))/100</f>
        <v>0.2</v>
      </c>
    </row>
    <row r="523" spans="1:11" x14ac:dyDescent="0.35">
      <c r="A523">
        <v>1521</v>
      </c>
      <c r="B523" s="1">
        <v>45618</v>
      </c>
      <c r="C523" t="s">
        <v>1005</v>
      </c>
      <c r="D523" t="s">
        <v>978</v>
      </c>
      <c r="E523" t="s">
        <v>994</v>
      </c>
      <c r="F523" t="s">
        <v>997</v>
      </c>
      <c r="G523">
        <v>7</v>
      </c>
      <c r="H523">
        <v>500</v>
      </c>
      <c r="I523" t="s">
        <v>1000</v>
      </c>
      <c r="J523">
        <f>Table1[[#This Row],[Quantity]]*Table1[[#This Row],[Price]]*(1-Table1[[#This Row],[Discount]])</f>
        <v>3325</v>
      </c>
      <c r="K523">
        <f>VALUE(SUBSTITUTE(Table1[[#This Row],[Discount]],"%",""))/100</f>
        <v>0.05</v>
      </c>
    </row>
    <row r="524" spans="1:11" x14ac:dyDescent="0.35">
      <c r="A524">
        <v>1522</v>
      </c>
      <c r="B524" s="1">
        <v>45640</v>
      </c>
      <c r="C524" t="s">
        <v>515</v>
      </c>
      <c r="D524" t="s">
        <v>981</v>
      </c>
      <c r="E524" t="s">
        <v>991</v>
      </c>
      <c r="F524" t="s">
        <v>998</v>
      </c>
      <c r="G524">
        <v>9</v>
      </c>
      <c r="H524">
        <v>1500</v>
      </c>
      <c r="I524" t="s">
        <v>1003</v>
      </c>
      <c r="J524">
        <f>Table1[[#This Row],[Quantity]]*Table1[[#This Row],[Price]]*(1-Table1[[#This Row],[Discount]])</f>
        <v>11475</v>
      </c>
      <c r="K524">
        <f>VALUE(SUBSTITUTE(Table1[[#This Row],[Discount]],"%",""))/100</f>
        <v>0.15</v>
      </c>
    </row>
    <row r="525" spans="1:11" x14ac:dyDescent="0.35">
      <c r="A525">
        <v>1523</v>
      </c>
      <c r="B525" s="1">
        <v>45620</v>
      </c>
      <c r="C525" t="s">
        <v>516</v>
      </c>
      <c r="D525" t="s">
        <v>980</v>
      </c>
      <c r="E525" t="s">
        <v>990</v>
      </c>
      <c r="F525" t="s">
        <v>998</v>
      </c>
      <c r="G525">
        <v>1</v>
      </c>
      <c r="H525">
        <v>500</v>
      </c>
      <c r="I525" t="s">
        <v>1004</v>
      </c>
      <c r="J525">
        <f>Table1[[#This Row],[Quantity]]*Table1[[#This Row],[Price]]*(1-Table1[[#This Row],[Discount]])</f>
        <v>450</v>
      </c>
      <c r="K525">
        <f>VALUE(SUBSTITUTE(Table1[[#This Row],[Discount]],"%",""))/100</f>
        <v>0.1</v>
      </c>
    </row>
    <row r="526" spans="1:11" x14ac:dyDescent="0.35">
      <c r="A526">
        <v>1524</v>
      </c>
      <c r="B526" s="1">
        <v>45845</v>
      </c>
      <c r="C526" t="s">
        <v>517</v>
      </c>
      <c r="D526" t="s">
        <v>979</v>
      </c>
      <c r="E526" t="s">
        <v>993</v>
      </c>
      <c r="F526" t="s">
        <v>999</v>
      </c>
      <c r="G526">
        <v>6</v>
      </c>
      <c r="H526">
        <v>1000</v>
      </c>
      <c r="I526" t="s">
        <v>1004</v>
      </c>
      <c r="J526">
        <f>Table1[[#This Row],[Quantity]]*Table1[[#This Row],[Price]]*(1-Table1[[#This Row],[Discount]])</f>
        <v>5400</v>
      </c>
      <c r="K526">
        <f>VALUE(SUBSTITUTE(Table1[[#This Row],[Discount]],"%",""))/100</f>
        <v>0.1</v>
      </c>
    </row>
    <row r="527" spans="1:11" x14ac:dyDescent="0.35">
      <c r="A527">
        <v>1525</v>
      </c>
      <c r="B527" s="1">
        <v>45856</v>
      </c>
      <c r="C527" t="s">
        <v>518</v>
      </c>
      <c r="D527" t="s">
        <v>981</v>
      </c>
      <c r="E527" t="s">
        <v>983</v>
      </c>
      <c r="F527" t="s">
        <v>997</v>
      </c>
      <c r="G527">
        <v>10</v>
      </c>
      <c r="H527">
        <v>300</v>
      </c>
      <c r="I527" t="s">
        <v>1004</v>
      </c>
      <c r="J527">
        <f>Table1[[#This Row],[Quantity]]*Table1[[#This Row],[Price]]*(1-Table1[[#This Row],[Discount]])</f>
        <v>2700</v>
      </c>
      <c r="K527">
        <f>VALUE(SUBSTITUTE(Table1[[#This Row],[Discount]],"%",""))/100</f>
        <v>0.1</v>
      </c>
    </row>
    <row r="528" spans="1:11" x14ac:dyDescent="0.35">
      <c r="A528">
        <v>1526</v>
      </c>
      <c r="B528" s="1">
        <v>45552</v>
      </c>
      <c r="C528" t="s">
        <v>519</v>
      </c>
      <c r="D528" t="s">
        <v>978</v>
      </c>
      <c r="E528" t="s">
        <v>987</v>
      </c>
      <c r="F528" t="s">
        <v>999</v>
      </c>
      <c r="G528">
        <v>7</v>
      </c>
      <c r="H528">
        <v>1000</v>
      </c>
      <c r="I528" t="s">
        <v>1003</v>
      </c>
      <c r="J528">
        <f>Table1[[#This Row],[Quantity]]*Table1[[#This Row],[Price]]*(1-Table1[[#This Row],[Discount]])</f>
        <v>5950</v>
      </c>
      <c r="K528">
        <f>VALUE(SUBSTITUTE(Table1[[#This Row],[Discount]],"%",""))/100</f>
        <v>0.15</v>
      </c>
    </row>
    <row r="529" spans="1:11" x14ac:dyDescent="0.35">
      <c r="A529">
        <v>1527</v>
      </c>
      <c r="B529" s="1">
        <v>45646</v>
      </c>
      <c r="C529" t="s">
        <v>520</v>
      </c>
      <c r="D529" t="s">
        <v>979</v>
      </c>
      <c r="E529" t="s">
        <v>989</v>
      </c>
      <c r="F529" t="s">
        <v>999</v>
      </c>
      <c r="G529">
        <v>10</v>
      </c>
      <c r="H529">
        <v>2500</v>
      </c>
      <c r="I529" t="s">
        <v>1001</v>
      </c>
      <c r="J529">
        <f>Table1[[#This Row],[Quantity]]*Table1[[#This Row],[Price]]*(1-Table1[[#This Row],[Discount]])</f>
        <v>25000</v>
      </c>
      <c r="K529">
        <f>VALUE(SUBSTITUTE(Table1[[#This Row],[Discount]],"%",""))/100</f>
        <v>0</v>
      </c>
    </row>
    <row r="530" spans="1:11" x14ac:dyDescent="0.35">
      <c r="A530">
        <v>1528</v>
      </c>
      <c r="B530" s="1">
        <v>45709</v>
      </c>
      <c r="C530" t="s">
        <v>521</v>
      </c>
      <c r="D530" t="s">
        <v>980</v>
      </c>
      <c r="E530" t="s">
        <v>993</v>
      </c>
      <c r="F530" t="s">
        <v>999</v>
      </c>
      <c r="G530">
        <v>10</v>
      </c>
      <c r="H530">
        <v>2500</v>
      </c>
      <c r="I530" t="s">
        <v>1004</v>
      </c>
      <c r="J530">
        <f>Table1[[#This Row],[Quantity]]*Table1[[#This Row],[Price]]*(1-Table1[[#This Row],[Discount]])</f>
        <v>22500</v>
      </c>
      <c r="K530">
        <f>VALUE(SUBSTITUTE(Table1[[#This Row],[Discount]],"%",""))/100</f>
        <v>0.1</v>
      </c>
    </row>
    <row r="531" spans="1:11" x14ac:dyDescent="0.35">
      <c r="A531">
        <v>1529</v>
      </c>
      <c r="B531" s="1">
        <v>45765</v>
      </c>
      <c r="C531" t="s">
        <v>522</v>
      </c>
      <c r="D531" t="s">
        <v>979</v>
      </c>
      <c r="E531" t="s">
        <v>994</v>
      </c>
      <c r="F531" t="s">
        <v>997</v>
      </c>
      <c r="G531">
        <v>7</v>
      </c>
      <c r="H531">
        <v>300</v>
      </c>
      <c r="I531" t="s">
        <v>1000</v>
      </c>
      <c r="J531">
        <f>Table1[[#This Row],[Quantity]]*Table1[[#This Row],[Price]]*(1-Table1[[#This Row],[Discount]])</f>
        <v>1995</v>
      </c>
      <c r="K531">
        <f>VALUE(SUBSTITUTE(Table1[[#This Row],[Discount]],"%",""))/100</f>
        <v>0.05</v>
      </c>
    </row>
    <row r="532" spans="1:11" x14ac:dyDescent="0.35">
      <c r="A532">
        <v>1530</v>
      </c>
      <c r="B532" s="1">
        <v>45674</v>
      </c>
      <c r="C532" t="s">
        <v>523</v>
      </c>
      <c r="D532" t="s">
        <v>979</v>
      </c>
      <c r="E532" t="s">
        <v>982</v>
      </c>
      <c r="F532" t="s">
        <v>997</v>
      </c>
      <c r="G532">
        <v>4</v>
      </c>
      <c r="H532">
        <v>300</v>
      </c>
      <c r="I532" t="s">
        <v>1003</v>
      </c>
      <c r="J532">
        <f>Table1[[#This Row],[Quantity]]*Table1[[#This Row],[Price]]*(1-Table1[[#This Row],[Discount]])</f>
        <v>1020</v>
      </c>
      <c r="K532">
        <f>VALUE(SUBSTITUTE(Table1[[#This Row],[Discount]],"%",""))/100</f>
        <v>0.15</v>
      </c>
    </row>
    <row r="533" spans="1:11" x14ac:dyDescent="0.35">
      <c r="A533">
        <v>1531</v>
      </c>
      <c r="B533" s="1">
        <v>45544</v>
      </c>
      <c r="C533" t="s">
        <v>524</v>
      </c>
      <c r="D533" t="s">
        <v>981</v>
      </c>
      <c r="E533" t="s">
        <v>992</v>
      </c>
      <c r="F533" t="s">
        <v>998</v>
      </c>
      <c r="G533">
        <v>7</v>
      </c>
      <c r="H533">
        <v>250</v>
      </c>
      <c r="I533" t="s">
        <v>1001</v>
      </c>
      <c r="J533">
        <f>Table1[[#This Row],[Quantity]]*Table1[[#This Row],[Price]]*(1-Table1[[#This Row],[Discount]])</f>
        <v>1750</v>
      </c>
      <c r="K533">
        <f>VALUE(SUBSTITUTE(Table1[[#This Row],[Discount]],"%",""))/100</f>
        <v>0</v>
      </c>
    </row>
    <row r="534" spans="1:11" x14ac:dyDescent="0.35">
      <c r="A534">
        <v>1532</v>
      </c>
      <c r="B534" s="1">
        <v>45723</v>
      </c>
      <c r="C534" t="s">
        <v>525</v>
      </c>
      <c r="D534" t="s">
        <v>980</v>
      </c>
      <c r="E534" t="s">
        <v>993</v>
      </c>
      <c r="F534" t="s">
        <v>999</v>
      </c>
      <c r="G534">
        <v>4</v>
      </c>
      <c r="H534">
        <v>500</v>
      </c>
      <c r="I534" t="s">
        <v>1004</v>
      </c>
      <c r="J534">
        <f>Table1[[#This Row],[Quantity]]*Table1[[#This Row],[Price]]*(1-Table1[[#This Row],[Discount]])</f>
        <v>1800</v>
      </c>
      <c r="K534">
        <f>VALUE(SUBSTITUTE(Table1[[#This Row],[Discount]],"%",""))/100</f>
        <v>0.1</v>
      </c>
    </row>
    <row r="535" spans="1:11" x14ac:dyDescent="0.35">
      <c r="A535">
        <v>1533</v>
      </c>
      <c r="B535" s="1">
        <v>45672</v>
      </c>
      <c r="C535" t="s">
        <v>526</v>
      </c>
      <c r="D535" t="s">
        <v>980</v>
      </c>
      <c r="E535" t="s">
        <v>992</v>
      </c>
      <c r="F535" t="s">
        <v>998</v>
      </c>
      <c r="G535">
        <v>6</v>
      </c>
      <c r="H535">
        <v>1500</v>
      </c>
      <c r="I535" t="s">
        <v>1003</v>
      </c>
      <c r="J535">
        <f>Table1[[#This Row],[Quantity]]*Table1[[#This Row],[Price]]*(1-Table1[[#This Row],[Discount]])</f>
        <v>7650</v>
      </c>
      <c r="K535">
        <f>VALUE(SUBSTITUTE(Table1[[#This Row],[Discount]],"%",""))/100</f>
        <v>0.15</v>
      </c>
    </row>
    <row r="536" spans="1:11" x14ac:dyDescent="0.35">
      <c r="A536">
        <v>1534</v>
      </c>
      <c r="B536" s="1">
        <v>45536</v>
      </c>
      <c r="C536" t="s">
        <v>527</v>
      </c>
      <c r="D536" t="s">
        <v>980</v>
      </c>
      <c r="E536" t="s">
        <v>988</v>
      </c>
      <c r="F536" t="s">
        <v>999</v>
      </c>
      <c r="G536">
        <v>9</v>
      </c>
      <c r="H536">
        <v>300</v>
      </c>
      <c r="I536" t="s">
        <v>1002</v>
      </c>
      <c r="J536">
        <f>Table1[[#This Row],[Quantity]]*Table1[[#This Row],[Price]]*(1-Table1[[#This Row],[Discount]])</f>
        <v>2160</v>
      </c>
      <c r="K536">
        <f>VALUE(SUBSTITUTE(Table1[[#This Row],[Discount]],"%",""))/100</f>
        <v>0.2</v>
      </c>
    </row>
    <row r="537" spans="1:11" x14ac:dyDescent="0.35">
      <c r="A537">
        <v>1535</v>
      </c>
      <c r="B537" s="1">
        <v>45552</v>
      </c>
      <c r="C537" t="s">
        <v>528</v>
      </c>
      <c r="D537" t="s">
        <v>978</v>
      </c>
      <c r="E537" t="s">
        <v>995</v>
      </c>
      <c r="F537" t="s">
        <v>997</v>
      </c>
      <c r="G537">
        <v>5</v>
      </c>
      <c r="H537">
        <v>1500</v>
      </c>
      <c r="I537" t="s">
        <v>1003</v>
      </c>
      <c r="J537">
        <f>Table1[[#This Row],[Quantity]]*Table1[[#This Row],[Price]]*(1-Table1[[#This Row],[Discount]])</f>
        <v>6375</v>
      </c>
      <c r="K537">
        <f>VALUE(SUBSTITUTE(Table1[[#This Row],[Discount]],"%",""))/100</f>
        <v>0.15</v>
      </c>
    </row>
    <row r="538" spans="1:11" x14ac:dyDescent="0.35">
      <c r="A538">
        <v>1536</v>
      </c>
      <c r="B538" s="1">
        <v>45680</v>
      </c>
      <c r="C538" t="s">
        <v>529</v>
      </c>
      <c r="D538" t="s">
        <v>978</v>
      </c>
      <c r="E538" t="s">
        <v>988</v>
      </c>
      <c r="F538" t="s">
        <v>999</v>
      </c>
      <c r="G538">
        <v>5</v>
      </c>
      <c r="H538">
        <v>1354.67</v>
      </c>
      <c r="I538" t="s">
        <v>1001</v>
      </c>
      <c r="J538">
        <f>Table1[[#This Row],[Quantity]]*Table1[[#This Row],[Price]]*(1-Table1[[#This Row],[Discount]])</f>
        <v>6773.35</v>
      </c>
      <c r="K538">
        <f>VALUE(SUBSTITUTE(Table1[[#This Row],[Discount]],"%",""))/100</f>
        <v>0</v>
      </c>
    </row>
    <row r="539" spans="1:11" x14ac:dyDescent="0.35">
      <c r="A539">
        <v>1537</v>
      </c>
      <c r="B539" s="1">
        <v>45599</v>
      </c>
      <c r="C539" t="s">
        <v>530</v>
      </c>
      <c r="D539" t="s">
        <v>981</v>
      </c>
      <c r="E539" t="s">
        <v>996</v>
      </c>
      <c r="F539" t="s">
        <v>999</v>
      </c>
      <c r="G539">
        <v>5</v>
      </c>
      <c r="H539">
        <v>100</v>
      </c>
      <c r="I539" t="s">
        <v>1003</v>
      </c>
      <c r="J539">
        <f>Table1[[#This Row],[Quantity]]*Table1[[#This Row],[Price]]*(1-Table1[[#This Row],[Discount]])</f>
        <v>425</v>
      </c>
      <c r="K539">
        <f>VALUE(SUBSTITUTE(Table1[[#This Row],[Discount]],"%",""))/100</f>
        <v>0.15</v>
      </c>
    </row>
    <row r="540" spans="1:11" x14ac:dyDescent="0.35">
      <c r="A540">
        <v>1538</v>
      </c>
      <c r="B540" s="1">
        <v>45518</v>
      </c>
      <c r="C540" t="s">
        <v>531</v>
      </c>
      <c r="D540" t="s">
        <v>978</v>
      </c>
      <c r="E540" t="s">
        <v>984</v>
      </c>
      <c r="F540" t="s">
        <v>998</v>
      </c>
      <c r="G540">
        <v>9</v>
      </c>
      <c r="H540">
        <v>2500</v>
      </c>
      <c r="I540" t="s">
        <v>1003</v>
      </c>
      <c r="J540">
        <f>Table1[[#This Row],[Quantity]]*Table1[[#This Row],[Price]]*(1-Table1[[#This Row],[Discount]])</f>
        <v>19125</v>
      </c>
      <c r="K540">
        <f>VALUE(SUBSTITUTE(Table1[[#This Row],[Discount]],"%",""))/100</f>
        <v>0.15</v>
      </c>
    </row>
    <row r="541" spans="1:11" x14ac:dyDescent="0.35">
      <c r="A541">
        <v>1539</v>
      </c>
      <c r="B541" s="1">
        <v>45524</v>
      </c>
      <c r="C541" t="s">
        <v>532</v>
      </c>
      <c r="D541" t="s">
        <v>978</v>
      </c>
      <c r="E541" t="s">
        <v>988</v>
      </c>
      <c r="F541" t="s">
        <v>999</v>
      </c>
      <c r="G541">
        <v>5</v>
      </c>
      <c r="H541">
        <v>250</v>
      </c>
      <c r="I541" t="s">
        <v>1003</v>
      </c>
      <c r="J541">
        <f>Table1[[#This Row],[Quantity]]*Table1[[#This Row],[Price]]*(1-Table1[[#This Row],[Discount]])</f>
        <v>1062.5</v>
      </c>
      <c r="K541">
        <f>VALUE(SUBSTITUTE(Table1[[#This Row],[Discount]],"%",""))/100</f>
        <v>0.15</v>
      </c>
    </row>
    <row r="542" spans="1:11" x14ac:dyDescent="0.35">
      <c r="A542">
        <v>1540</v>
      </c>
      <c r="B542" s="1">
        <v>45513</v>
      </c>
      <c r="C542" t="s">
        <v>533</v>
      </c>
      <c r="D542" t="s">
        <v>978</v>
      </c>
      <c r="E542" t="s">
        <v>986</v>
      </c>
      <c r="F542" t="s">
        <v>997</v>
      </c>
      <c r="G542">
        <v>5</v>
      </c>
      <c r="H542">
        <v>1000</v>
      </c>
      <c r="I542" t="s">
        <v>1003</v>
      </c>
      <c r="J542">
        <f>Table1[[#This Row],[Quantity]]*Table1[[#This Row],[Price]]*(1-Table1[[#This Row],[Discount]])</f>
        <v>4250</v>
      </c>
      <c r="K542">
        <f>VALUE(SUBSTITUTE(Table1[[#This Row],[Discount]],"%",""))/100</f>
        <v>0.15</v>
      </c>
    </row>
    <row r="543" spans="1:11" x14ac:dyDescent="0.35">
      <c r="A543">
        <v>1541</v>
      </c>
      <c r="B543" s="1">
        <v>45750</v>
      </c>
      <c r="C543" t="s">
        <v>1005</v>
      </c>
      <c r="D543" t="s">
        <v>980</v>
      </c>
      <c r="E543" t="s">
        <v>994</v>
      </c>
      <c r="F543" t="s">
        <v>997</v>
      </c>
      <c r="G543">
        <v>10</v>
      </c>
      <c r="H543">
        <v>4500</v>
      </c>
      <c r="I543" t="s">
        <v>1004</v>
      </c>
      <c r="J543">
        <f>Table1[[#This Row],[Quantity]]*Table1[[#This Row],[Price]]*(1-Table1[[#This Row],[Discount]])</f>
        <v>40500</v>
      </c>
      <c r="K543">
        <f>VALUE(SUBSTITUTE(Table1[[#This Row],[Discount]],"%",""))/100</f>
        <v>0.1</v>
      </c>
    </row>
    <row r="544" spans="1:11" x14ac:dyDescent="0.35">
      <c r="A544">
        <v>1542</v>
      </c>
      <c r="B544" s="1">
        <v>45847</v>
      </c>
      <c r="C544" t="s">
        <v>534</v>
      </c>
      <c r="D544" t="s">
        <v>981</v>
      </c>
      <c r="E544" t="s">
        <v>982</v>
      </c>
      <c r="F544" t="s">
        <v>997</v>
      </c>
      <c r="G544">
        <v>3</v>
      </c>
      <c r="H544">
        <v>1354.67</v>
      </c>
      <c r="I544" t="s">
        <v>1004</v>
      </c>
      <c r="J544">
        <f>Table1[[#This Row],[Quantity]]*Table1[[#This Row],[Price]]*(1-Table1[[#This Row],[Discount]])</f>
        <v>3657.6090000000004</v>
      </c>
      <c r="K544">
        <f>VALUE(SUBSTITUTE(Table1[[#This Row],[Discount]],"%",""))/100</f>
        <v>0.1</v>
      </c>
    </row>
    <row r="545" spans="1:11" x14ac:dyDescent="0.35">
      <c r="A545">
        <v>1543</v>
      </c>
      <c r="B545" s="1">
        <v>45646</v>
      </c>
      <c r="C545" t="s">
        <v>535</v>
      </c>
      <c r="D545" t="s">
        <v>981</v>
      </c>
      <c r="E545" t="s">
        <v>990</v>
      </c>
      <c r="F545" t="s">
        <v>998</v>
      </c>
      <c r="G545">
        <v>1</v>
      </c>
      <c r="H545">
        <v>4500</v>
      </c>
      <c r="I545" t="s">
        <v>1000</v>
      </c>
      <c r="J545">
        <f>Table1[[#This Row],[Quantity]]*Table1[[#This Row],[Price]]*(1-Table1[[#This Row],[Discount]])</f>
        <v>4275</v>
      </c>
      <c r="K545">
        <f>VALUE(SUBSTITUTE(Table1[[#This Row],[Discount]],"%",""))/100</f>
        <v>0.05</v>
      </c>
    </row>
    <row r="546" spans="1:11" x14ac:dyDescent="0.35">
      <c r="A546">
        <v>1544</v>
      </c>
      <c r="B546" s="1">
        <v>45552</v>
      </c>
      <c r="C546" t="s">
        <v>536</v>
      </c>
      <c r="D546" t="s">
        <v>978</v>
      </c>
      <c r="E546" t="s">
        <v>996</v>
      </c>
      <c r="F546" t="s">
        <v>999</v>
      </c>
      <c r="G546">
        <v>1</v>
      </c>
      <c r="H546">
        <v>1500</v>
      </c>
      <c r="I546" t="s">
        <v>1001</v>
      </c>
      <c r="J546">
        <f>Table1[[#This Row],[Quantity]]*Table1[[#This Row],[Price]]*(1-Table1[[#This Row],[Discount]])</f>
        <v>1500</v>
      </c>
      <c r="K546">
        <f>VALUE(SUBSTITUTE(Table1[[#This Row],[Discount]],"%",""))/100</f>
        <v>0</v>
      </c>
    </row>
    <row r="547" spans="1:11" x14ac:dyDescent="0.35">
      <c r="A547">
        <v>1545</v>
      </c>
      <c r="B547" s="1">
        <v>45709</v>
      </c>
      <c r="C547" t="s">
        <v>537</v>
      </c>
      <c r="D547" t="s">
        <v>979</v>
      </c>
      <c r="E547" t="s">
        <v>988</v>
      </c>
      <c r="F547" t="s">
        <v>999</v>
      </c>
      <c r="G547">
        <v>4</v>
      </c>
      <c r="H547">
        <v>1000</v>
      </c>
      <c r="I547" t="s">
        <v>1003</v>
      </c>
      <c r="J547">
        <f>Table1[[#This Row],[Quantity]]*Table1[[#This Row],[Price]]*(1-Table1[[#This Row],[Discount]])</f>
        <v>3400</v>
      </c>
      <c r="K547">
        <f>VALUE(SUBSTITUTE(Table1[[#This Row],[Discount]],"%",""))/100</f>
        <v>0.15</v>
      </c>
    </row>
    <row r="548" spans="1:11" x14ac:dyDescent="0.35">
      <c r="A548">
        <v>1546</v>
      </c>
      <c r="B548" s="1">
        <v>45825</v>
      </c>
      <c r="C548" t="s">
        <v>538</v>
      </c>
      <c r="D548" t="s">
        <v>979</v>
      </c>
      <c r="E548" t="s">
        <v>988</v>
      </c>
      <c r="F548" t="s">
        <v>999</v>
      </c>
      <c r="G548">
        <v>1</v>
      </c>
      <c r="H548">
        <v>500</v>
      </c>
      <c r="I548" t="s">
        <v>1003</v>
      </c>
      <c r="J548">
        <f>Table1[[#This Row],[Quantity]]*Table1[[#This Row],[Price]]*(1-Table1[[#This Row],[Discount]])</f>
        <v>425</v>
      </c>
      <c r="K548">
        <f>VALUE(SUBSTITUTE(Table1[[#This Row],[Discount]],"%",""))/100</f>
        <v>0.15</v>
      </c>
    </row>
    <row r="549" spans="1:11" x14ac:dyDescent="0.35">
      <c r="A549">
        <v>1547</v>
      </c>
      <c r="B549" s="1">
        <v>45762</v>
      </c>
      <c r="C549" t="s">
        <v>539</v>
      </c>
      <c r="D549" t="s">
        <v>979</v>
      </c>
      <c r="E549" t="s">
        <v>986</v>
      </c>
      <c r="F549" t="s">
        <v>997</v>
      </c>
      <c r="G549">
        <v>6</v>
      </c>
      <c r="H549">
        <v>300</v>
      </c>
      <c r="I549" t="s">
        <v>1001</v>
      </c>
      <c r="J549">
        <f>Table1[[#This Row],[Quantity]]*Table1[[#This Row],[Price]]*(1-Table1[[#This Row],[Discount]])</f>
        <v>1800</v>
      </c>
      <c r="K549">
        <f>VALUE(SUBSTITUTE(Table1[[#This Row],[Discount]],"%",""))/100</f>
        <v>0</v>
      </c>
    </row>
    <row r="550" spans="1:11" x14ac:dyDescent="0.35">
      <c r="A550">
        <v>1548</v>
      </c>
      <c r="B550" s="1">
        <v>45590</v>
      </c>
      <c r="C550" t="s">
        <v>540</v>
      </c>
      <c r="E550" t="s">
        <v>990</v>
      </c>
      <c r="F550" t="s">
        <v>998</v>
      </c>
      <c r="G550">
        <v>2</v>
      </c>
      <c r="H550">
        <v>500</v>
      </c>
      <c r="I550" t="s">
        <v>1003</v>
      </c>
      <c r="J550">
        <f>Table1[[#This Row],[Quantity]]*Table1[[#This Row],[Price]]*(1-Table1[[#This Row],[Discount]])</f>
        <v>850</v>
      </c>
      <c r="K550">
        <f>VALUE(SUBSTITUTE(Table1[[#This Row],[Discount]],"%",""))/100</f>
        <v>0.15</v>
      </c>
    </row>
    <row r="551" spans="1:11" x14ac:dyDescent="0.35">
      <c r="A551">
        <v>1549</v>
      </c>
      <c r="B551" s="1">
        <v>45865</v>
      </c>
      <c r="C551" t="s">
        <v>541</v>
      </c>
      <c r="D551" t="s">
        <v>980</v>
      </c>
      <c r="E551" t="s">
        <v>988</v>
      </c>
      <c r="F551" t="s">
        <v>999</v>
      </c>
      <c r="G551">
        <v>1</v>
      </c>
      <c r="H551">
        <v>100</v>
      </c>
      <c r="I551" t="s">
        <v>1002</v>
      </c>
      <c r="J551">
        <f>Table1[[#This Row],[Quantity]]*Table1[[#This Row],[Price]]*(1-Table1[[#This Row],[Discount]])</f>
        <v>80</v>
      </c>
      <c r="K551">
        <f>VALUE(SUBSTITUTE(Table1[[#This Row],[Discount]],"%",""))/100</f>
        <v>0.2</v>
      </c>
    </row>
    <row r="552" spans="1:11" x14ac:dyDescent="0.35">
      <c r="A552">
        <v>1550</v>
      </c>
      <c r="B552" s="1">
        <v>45757</v>
      </c>
      <c r="C552" t="s">
        <v>542</v>
      </c>
      <c r="D552" t="s">
        <v>981</v>
      </c>
      <c r="E552" t="s">
        <v>990</v>
      </c>
      <c r="F552" t="s">
        <v>998</v>
      </c>
      <c r="G552">
        <v>8</v>
      </c>
      <c r="H552">
        <v>250</v>
      </c>
      <c r="I552" t="s">
        <v>1002</v>
      </c>
      <c r="J552">
        <f>Table1[[#This Row],[Quantity]]*Table1[[#This Row],[Price]]*(1-Table1[[#This Row],[Discount]])</f>
        <v>1600</v>
      </c>
      <c r="K552">
        <f>VALUE(SUBSTITUTE(Table1[[#This Row],[Discount]],"%",""))/100</f>
        <v>0.2</v>
      </c>
    </row>
    <row r="553" spans="1:11" x14ac:dyDescent="0.35">
      <c r="A553">
        <v>1551</v>
      </c>
      <c r="B553" s="1">
        <v>45507</v>
      </c>
      <c r="C553" t="s">
        <v>543</v>
      </c>
      <c r="D553" t="s">
        <v>980</v>
      </c>
      <c r="E553" t="s">
        <v>985</v>
      </c>
      <c r="F553" t="s">
        <v>998</v>
      </c>
      <c r="G553">
        <v>3</v>
      </c>
      <c r="H553">
        <v>250</v>
      </c>
      <c r="I553" t="s">
        <v>1000</v>
      </c>
      <c r="J553">
        <f>Table1[[#This Row],[Quantity]]*Table1[[#This Row],[Price]]*(1-Table1[[#This Row],[Discount]])</f>
        <v>712.5</v>
      </c>
      <c r="K553">
        <f>VALUE(SUBSTITUTE(Table1[[#This Row],[Discount]],"%",""))/100</f>
        <v>0.05</v>
      </c>
    </row>
    <row r="554" spans="1:11" x14ac:dyDescent="0.35">
      <c r="A554">
        <v>1552</v>
      </c>
      <c r="B554" s="1">
        <v>45674</v>
      </c>
      <c r="C554" t="s">
        <v>21</v>
      </c>
      <c r="D554" t="s">
        <v>981</v>
      </c>
      <c r="E554" t="s">
        <v>996</v>
      </c>
      <c r="F554" t="s">
        <v>999</v>
      </c>
      <c r="G554">
        <v>4</v>
      </c>
      <c r="H554">
        <v>100</v>
      </c>
      <c r="I554" t="s">
        <v>1003</v>
      </c>
      <c r="J554">
        <f>Table1[[#This Row],[Quantity]]*Table1[[#This Row],[Price]]*(1-Table1[[#This Row],[Discount]])</f>
        <v>340</v>
      </c>
      <c r="K554">
        <f>VALUE(SUBSTITUTE(Table1[[#This Row],[Discount]],"%",""))/100</f>
        <v>0.15</v>
      </c>
    </row>
    <row r="555" spans="1:11" x14ac:dyDescent="0.35">
      <c r="A555">
        <v>1553</v>
      </c>
      <c r="B555" s="1">
        <v>45788</v>
      </c>
      <c r="C555" t="s">
        <v>544</v>
      </c>
      <c r="D555" t="s">
        <v>980</v>
      </c>
      <c r="E555" t="s">
        <v>994</v>
      </c>
      <c r="F555" t="s">
        <v>997</v>
      </c>
      <c r="G555">
        <v>9</v>
      </c>
      <c r="H555">
        <v>1000</v>
      </c>
      <c r="I555" t="s">
        <v>1002</v>
      </c>
      <c r="J555">
        <f>Table1[[#This Row],[Quantity]]*Table1[[#This Row],[Price]]*(1-Table1[[#This Row],[Discount]])</f>
        <v>7200</v>
      </c>
      <c r="K555">
        <f>VALUE(SUBSTITUTE(Table1[[#This Row],[Discount]],"%",""))/100</f>
        <v>0.2</v>
      </c>
    </row>
    <row r="556" spans="1:11" x14ac:dyDescent="0.35">
      <c r="A556">
        <v>1554</v>
      </c>
      <c r="B556" s="1">
        <v>45793</v>
      </c>
      <c r="C556" t="s">
        <v>545</v>
      </c>
      <c r="D556" t="s">
        <v>978</v>
      </c>
      <c r="E556" t="s">
        <v>994</v>
      </c>
      <c r="F556" t="s">
        <v>997</v>
      </c>
      <c r="G556">
        <v>5</v>
      </c>
      <c r="H556">
        <v>300</v>
      </c>
      <c r="I556" t="s">
        <v>1001</v>
      </c>
      <c r="J556">
        <f>Table1[[#This Row],[Quantity]]*Table1[[#This Row],[Price]]*(1-Table1[[#This Row],[Discount]])</f>
        <v>1500</v>
      </c>
      <c r="K556">
        <f>VALUE(SUBSTITUTE(Table1[[#This Row],[Discount]],"%",""))/100</f>
        <v>0</v>
      </c>
    </row>
    <row r="557" spans="1:11" x14ac:dyDescent="0.35">
      <c r="A557">
        <v>1555</v>
      </c>
      <c r="B557" s="1">
        <v>45613</v>
      </c>
      <c r="C557" t="s">
        <v>546</v>
      </c>
      <c r="D557" t="s">
        <v>979</v>
      </c>
      <c r="E557" t="s">
        <v>987</v>
      </c>
      <c r="F557" t="s">
        <v>999</v>
      </c>
      <c r="G557">
        <v>9</v>
      </c>
      <c r="H557">
        <v>2500</v>
      </c>
      <c r="I557" t="s">
        <v>1000</v>
      </c>
      <c r="J557">
        <f>Table1[[#This Row],[Quantity]]*Table1[[#This Row],[Price]]*(1-Table1[[#This Row],[Discount]])</f>
        <v>21375</v>
      </c>
      <c r="K557">
        <f>VALUE(SUBSTITUTE(Table1[[#This Row],[Discount]],"%",""))/100</f>
        <v>0.05</v>
      </c>
    </row>
    <row r="558" spans="1:11" x14ac:dyDescent="0.35">
      <c r="A558">
        <v>1556</v>
      </c>
      <c r="B558" s="1">
        <v>45725</v>
      </c>
      <c r="C558" t="s">
        <v>547</v>
      </c>
      <c r="D558" t="s">
        <v>980</v>
      </c>
      <c r="E558" t="s">
        <v>987</v>
      </c>
      <c r="F558" t="s">
        <v>999</v>
      </c>
      <c r="G558">
        <v>9</v>
      </c>
      <c r="H558">
        <v>2500</v>
      </c>
      <c r="I558" t="s">
        <v>1000</v>
      </c>
      <c r="J558">
        <f>Table1[[#This Row],[Quantity]]*Table1[[#This Row],[Price]]*(1-Table1[[#This Row],[Discount]])</f>
        <v>21375</v>
      </c>
      <c r="K558">
        <f>VALUE(SUBSTITUTE(Table1[[#This Row],[Discount]],"%",""))/100</f>
        <v>0.05</v>
      </c>
    </row>
    <row r="559" spans="1:11" x14ac:dyDescent="0.35">
      <c r="A559">
        <v>1557</v>
      </c>
      <c r="B559" s="1">
        <v>45618</v>
      </c>
      <c r="C559" t="s">
        <v>548</v>
      </c>
      <c r="D559" t="s">
        <v>979</v>
      </c>
      <c r="E559" t="s">
        <v>993</v>
      </c>
      <c r="F559" t="s">
        <v>999</v>
      </c>
      <c r="G559">
        <v>2</v>
      </c>
      <c r="H559">
        <v>250</v>
      </c>
      <c r="I559" t="s">
        <v>1002</v>
      </c>
      <c r="J559">
        <f>Table1[[#This Row],[Quantity]]*Table1[[#This Row],[Price]]*(1-Table1[[#This Row],[Discount]])</f>
        <v>400</v>
      </c>
      <c r="K559">
        <f>VALUE(SUBSTITUTE(Table1[[#This Row],[Discount]],"%",""))/100</f>
        <v>0.2</v>
      </c>
    </row>
    <row r="560" spans="1:11" x14ac:dyDescent="0.35">
      <c r="A560">
        <v>1558</v>
      </c>
      <c r="B560" s="1">
        <v>45661</v>
      </c>
      <c r="C560" t="s">
        <v>549</v>
      </c>
      <c r="D560" t="s">
        <v>979</v>
      </c>
      <c r="E560" t="s">
        <v>990</v>
      </c>
      <c r="F560" t="s">
        <v>998</v>
      </c>
      <c r="G560">
        <v>2</v>
      </c>
      <c r="H560">
        <v>4500</v>
      </c>
      <c r="I560" t="s">
        <v>1000</v>
      </c>
      <c r="J560">
        <f>Table1[[#This Row],[Quantity]]*Table1[[#This Row],[Price]]*(1-Table1[[#This Row],[Discount]])</f>
        <v>8550</v>
      </c>
      <c r="K560">
        <f>VALUE(SUBSTITUTE(Table1[[#This Row],[Discount]],"%",""))/100</f>
        <v>0.05</v>
      </c>
    </row>
    <row r="561" spans="1:11" x14ac:dyDescent="0.35">
      <c r="A561">
        <v>1559</v>
      </c>
      <c r="B561" s="1">
        <v>45842</v>
      </c>
      <c r="C561" t="s">
        <v>550</v>
      </c>
      <c r="D561" t="s">
        <v>981</v>
      </c>
      <c r="E561" t="s">
        <v>989</v>
      </c>
      <c r="F561" t="s">
        <v>999</v>
      </c>
      <c r="G561">
        <v>10</v>
      </c>
      <c r="H561">
        <v>1000</v>
      </c>
      <c r="I561" t="s">
        <v>1001</v>
      </c>
      <c r="J561">
        <f>Table1[[#This Row],[Quantity]]*Table1[[#This Row],[Price]]*(1-Table1[[#This Row],[Discount]])</f>
        <v>10000</v>
      </c>
      <c r="K561">
        <f>VALUE(SUBSTITUTE(Table1[[#This Row],[Discount]],"%",""))/100</f>
        <v>0</v>
      </c>
    </row>
    <row r="562" spans="1:11" x14ac:dyDescent="0.35">
      <c r="A562">
        <v>1560</v>
      </c>
      <c r="B562" s="1">
        <v>45716</v>
      </c>
      <c r="C562" t="s">
        <v>551</v>
      </c>
      <c r="D562" t="s">
        <v>981</v>
      </c>
      <c r="E562" t="s">
        <v>984</v>
      </c>
      <c r="F562" t="s">
        <v>998</v>
      </c>
      <c r="G562">
        <v>2</v>
      </c>
      <c r="H562">
        <v>4500</v>
      </c>
      <c r="I562" t="s">
        <v>1001</v>
      </c>
      <c r="J562">
        <f>Table1[[#This Row],[Quantity]]*Table1[[#This Row],[Price]]*(1-Table1[[#This Row],[Discount]])</f>
        <v>9000</v>
      </c>
      <c r="K562">
        <f>VALUE(SUBSTITUTE(Table1[[#This Row],[Discount]],"%",""))/100</f>
        <v>0</v>
      </c>
    </row>
    <row r="563" spans="1:11" x14ac:dyDescent="0.35">
      <c r="A563">
        <v>1561</v>
      </c>
      <c r="B563" s="1">
        <v>45806</v>
      </c>
      <c r="C563" t="s">
        <v>552</v>
      </c>
      <c r="D563" t="s">
        <v>979</v>
      </c>
      <c r="E563" t="s">
        <v>987</v>
      </c>
      <c r="F563" t="s">
        <v>999</v>
      </c>
      <c r="G563">
        <v>10</v>
      </c>
      <c r="H563">
        <v>1000</v>
      </c>
      <c r="I563" t="s">
        <v>1002</v>
      </c>
      <c r="J563">
        <f>Table1[[#This Row],[Quantity]]*Table1[[#This Row],[Price]]*(1-Table1[[#This Row],[Discount]])</f>
        <v>8000</v>
      </c>
      <c r="K563">
        <f>VALUE(SUBSTITUTE(Table1[[#This Row],[Discount]],"%",""))/100</f>
        <v>0.2</v>
      </c>
    </row>
    <row r="564" spans="1:11" x14ac:dyDescent="0.35">
      <c r="A564">
        <v>1562</v>
      </c>
      <c r="B564" s="1">
        <v>45617</v>
      </c>
      <c r="C564" t="s">
        <v>553</v>
      </c>
      <c r="D564" t="s">
        <v>980</v>
      </c>
      <c r="E564" t="s">
        <v>991</v>
      </c>
      <c r="F564" t="s">
        <v>998</v>
      </c>
      <c r="G564">
        <v>2</v>
      </c>
      <c r="H564">
        <v>250</v>
      </c>
      <c r="I564" t="s">
        <v>1000</v>
      </c>
      <c r="J564">
        <f>Table1[[#This Row],[Quantity]]*Table1[[#This Row],[Price]]*(1-Table1[[#This Row],[Discount]])</f>
        <v>475</v>
      </c>
      <c r="K564">
        <f>VALUE(SUBSTITUTE(Table1[[#This Row],[Discount]],"%",""))/100</f>
        <v>0.05</v>
      </c>
    </row>
    <row r="565" spans="1:11" x14ac:dyDescent="0.35">
      <c r="A565">
        <v>1563</v>
      </c>
      <c r="B565" s="1">
        <v>45830</v>
      </c>
      <c r="C565" t="s">
        <v>554</v>
      </c>
      <c r="D565" t="s">
        <v>981</v>
      </c>
      <c r="E565" t="s">
        <v>983</v>
      </c>
      <c r="F565" t="s">
        <v>997</v>
      </c>
      <c r="G565">
        <v>9</v>
      </c>
      <c r="H565">
        <v>2500</v>
      </c>
      <c r="I565" t="s">
        <v>1001</v>
      </c>
      <c r="J565">
        <f>Table1[[#This Row],[Quantity]]*Table1[[#This Row],[Price]]*(1-Table1[[#This Row],[Discount]])</f>
        <v>22500</v>
      </c>
      <c r="K565">
        <f>VALUE(SUBSTITUTE(Table1[[#This Row],[Discount]],"%",""))/100</f>
        <v>0</v>
      </c>
    </row>
    <row r="566" spans="1:11" x14ac:dyDescent="0.35">
      <c r="A566">
        <v>1564</v>
      </c>
      <c r="B566" s="1">
        <v>45680</v>
      </c>
      <c r="C566" t="s">
        <v>555</v>
      </c>
      <c r="D566" t="s">
        <v>981</v>
      </c>
      <c r="E566" t="s">
        <v>990</v>
      </c>
      <c r="F566" t="s">
        <v>998</v>
      </c>
      <c r="G566">
        <v>3</v>
      </c>
      <c r="H566">
        <v>2500</v>
      </c>
      <c r="I566" t="s">
        <v>1002</v>
      </c>
      <c r="J566">
        <f>Table1[[#This Row],[Quantity]]*Table1[[#This Row],[Price]]*(1-Table1[[#This Row],[Discount]])</f>
        <v>6000</v>
      </c>
      <c r="K566">
        <f>VALUE(SUBSTITUTE(Table1[[#This Row],[Discount]],"%",""))/100</f>
        <v>0.2</v>
      </c>
    </row>
    <row r="567" spans="1:11" x14ac:dyDescent="0.35">
      <c r="A567">
        <v>1565</v>
      </c>
      <c r="B567" s="1">
        <v>45717</v>
      </c>
      <c r="C567" t="s">
        <v>556</v>
      </c>
      <c r="D567" t="s">
        <v>980</v>
      </c>
      <c r="E567" t="s">
        <v>993</v>
      </c>
      <c r="F567" t="s">
        <v>999</v>
      </c>
      <c r="G567">
        <v>9</v>
      </c>
      <c r="H567">
        <v>1500</v>
      </c>
      <c r="I567" t="s">
        <v>1004</v>
      </c>
      <c r="J567">
        <f>Table1[[#This Row],[Quantity]]*Table1[[#This Row],[Price]]*(1-Table1[[#This Row],[Discount]])</f>
        <v>12150</v>
      </c>
      <c r="K567">
        <f>VALUE(SUBSTITUTE(Table1[[#This Row],[Discount]],"%",""))/100</f>
        <v>0.1</v>
      </c>
    </row>
    <row r="568" spans="1:11" x14ac:dyDescent="0.35">
      <c r="A568">
        <v>1566</v>
      </c>
      <c r="B568" s="1">
        <v>45629</v>
      </c>
      <c r="C568" t="s">
        <v>557</v>
      </c>
      <c r="D568" t="s">
        <v>981</v>
      </c>
      <c r="E568" t="s">
        <v>983</v>
      </c>
      <c r="F568" t="s">
        <v>997</v>
      </c>
      <c r="G568">
        <v>10</v>
      </c>
      <c r="H568">
        <v>500</v>
      </c>
      <c r="I568" t="s">
        <v>1003</v>
      </c>
      <c r="J568">
        <f>Table1[[#This Row],[Quantity]]*Table1[[#This Row],[Price]]*(1-Table1[[#This Row],[Discount]])</f>
        <v>4250</v>
      </c>
      <c r="K568">
        <f>VALUE(SUBSTITUTE(Table1[[#This Row],[Discount]],"%",""))/100</f>
        <v>0.15</v>
      </c>
    </row>
    <row r="569" spans="1:11" x14ac:dyDescent="0.35">
      <c r="A569">
        <v>1567</v>
      </c>
      <c r="B569" s="1">
        <v>45536</v>
      </c>
      <c r="C569" t="s">
        <v>558</v>
      </c>
      <c r="D569" t="s">
        <v>978</v>
      </c>
      <c r="E569" t="s">
        <v>992</v>
      </c>
      <c r="F569" t="s">
        <v>998</v>
      </c>
      <c r="G569">
        <v>5</v>
      </c>
      <c r="H569">
        <v>100</v>
      </c>
      <c r="I569" t="s">
        <v>1002</v>
      </c>
      <c r="J569">
        <f>Table1[[#This Row],[Quantity]]*Table1[[#This Row],[Price]]*(1-Table1[[#This Row],[Discount]])</f>
        <v>400</v>
      </c>
      <c r="K569">
        <f>VALUE(SUBSTITUTE(Table1[[#This Row],[Discount]],"%",""))/100</f>
        <v>0.2</v>
      </c>
    </row>
    <row r="570" spans="1:11" x14ac:dyDescent="0.35">
      <c r="A570">
        <v>1568</v>
      </c>
      <c r="B570" s="1">
        <v>45647</v>
      </c>
      <c r="C570" t="s">
        <v>559</v>
      </c>
      <c r="D570" t="s">
        <v>978</v>
      </c>
      <c r="E570" t="s">
        <v>990</v>
      </c>
      <c r="F570" t="s">
        <v>998</v>
      </c>
      <c r="G570">
        <v>6</v>
      </c>
      <c r="H570">
        <v>100</v>
      </c>
      <c r="I570" t="s">
        <v>1004</v>
      </c>
      <c r="J570">
        <f>Table1[[#This Row],[Quantity]]*Table1[[#This Row],[Price]]*(1-Table1[[#This Row],[Discount]])</f>
        <v>540</v>
      </c>
      <c r="K570">
        <f>VALUE(SUBSTITUTE(Table1[[#This Row],[Discount]],"%",""))/100</f>
        <v>0.1</v>
      </c>
    </row>
    <row r="571" spans="1:11" x14ac:dyDescent="0.35">
      <c r="A571">
        <v>1569</v>
      </c>
      <c r="B571" s="1">
        <v>45574</v>
      </c>
      <c r="C571" t="s">
        <v>560</v>
      </c>
      <c r="D571" t="s">
        <v>981</v>
      </c>
      <c r="E571" t="s">
        <v>993</v>
      </c>
      <c r="F571" t="s">
        <v>999</v>
      </c>
      <c r="G571">
        <v>10</v>
      </c>
      <c r="H571">
        <v>500</v>
      </c>
      <c r="I571" t="s">
        <v>1000</v>
      </c>
      <c r="J571">
        <f>Table1[[#This Row],[Quantity]]*Table1[[#This Row],[Price]]*(1-Table1[[#This Row],[Discount]])</f>
        <v>4750</v>
      </c>
      <c r="K571">
        <f>VALUE(SUBSTITUTE(Table1[[#This Row],[Discount]],"%",""))/100</f>
        <v>0.05</v>
      </c>
    </row>
    <row r="572" spans="1:11" x14ac:dyDescent="0.35">
      <c r="A572">
        <v>1570</v>
      </c>
      <c r="B572" s="1">
        <v>45585</v>
      </c>
      <c r="C572" t="s">
        <v>561</v>
      </c>
      <c r="D572" t="s">
        <v>980</v>
      </c>
      <c r="E572" t="s">
        <v>992</v>
      </c>
      <c r="F572" t="s">
        <v>998</v>
      </c>
      <c r="G572">
        <v>6</v>
      </c>
      <c r="H572">
        <v>4500</v>
      </c>
      <c r="I572" t="s">
        <v>1000</v>
      </c>
      <c r="J572">
        <f>Table1[[#This Row],[Quantity]]*Table1[[#This Row],[Price]]*(1-Table1[[#This Row],[Discount]])</f>
        <v>25650</v>
      </c>
      <c r="K572">
        <f>VALUE(SUBSTITUTE(Table1[[#This Row],[Discount]],"%",""))/100</f>
        <v>0.05</v>
      </c>
    </row>
    <row r="573" spans="1:11" x14ac:dyDescent="0.35">
      <c r="A573">
        <v>1571</v>
      </c>
      <c r="B573" s="1">
        <v>45854</v>
      </c>
      <c r="C573" t="s">
        <v>562</v>
      </c>
      <c r="D573" t="s">
        <v>980</v>
      </c>
      <c r="E573" t="s">
        <v>991</v>
      </c>
      <c r="F573" t="s">
        <v>998</v>
      </c>
      <c r="G573">
        <v>5</v>
      </c>
      <c r="H573">
        <v>100</v>
      </c>
      <c r="I573" t="s">
        <v>1002</v>
      </c>
      <c r="J573">
        <f>Table1[[#This Row],[Quantity]]*Table1[[#This Row],[Price]]*(1-Table1[[#This Row],[Discount]])</f>
        <v>400</v>
      </c>
      <c r="K573">
        <f>VALUE(SUBSTITUTE(Table1[[#This Row],[Discount]],"%",""))/100</f>
        <v>0.2</v>
      </c>
    </row>
    <row r="574" spans="1:11" x14ac:dyDescent="0.35">
      <c r="A574">
        <v>1572</v>
      </c>
      <c r="B574" s="1">
        <v>45546</v>
      </c>
      <c r="C574" t="s">
        <v>563</v>
      </c>
      <c r="D574" t="s">
        <v>979</v>
      </c>
      <c r="E574" t="s">
        <v>996</v>
      </c>
      <c r="F574" t="s">
        <v>999</v>
      </c>
      <c r="G574">
        <v>7</v>
      </c>
      <c r="H574">
        <v>250</v>
      </c>
      <c r="I574" t="s">
        <v>1000</v>
      </c>
      <c r="J574">
        <f>Table1[[#This Row],[Quantity]]*Table1[[#This Row],[Price]]*(1-Table1[[#This Row],[Discount]])</f>
        <v>1662.5</v>
      </c>
      <c r="K574">
        <f>VALUE(SUBSTITUTE(Table1[[#This Row],[Discount]],"%",""))/100</f>
        <v>0.05</v>
      </c>
    </row>
    <row r="575" spans="1:11" x14ac:dyDescent="0.35">
      <c r="A575">
        <v>1573</v>
      </c>
      <c r="B575" s="1">
        <v>45771</v>
      </c>
      <c r="C575" t="s">
        <v>564</v>
      </c>
      <c r="D575" t="s">
        <v>978</v>
      </c>
      <c r="E575" t="s">
        <v>982</v>
      </c>
      <c r="F575" t="s">
        <v>997</v>
      </c>
      <c r="G575">
        <v>6</v>
      </c>
      <c r="H575">
        <v>300</v>
      </c>
      <c r="I575" t="s">
        <v>1004</v>
      </c>
      <c r="J575">
        <f>Table1[[#This Row],[Quantity]]*Table1[[#This Row],[Price]]*(1-Table1[[#This Row],[Discount]])</f>
        <v>1620</v>
      </c>
      <c r="K575">
        <f>VALUE(SUBSTITUTE(Table1[[#This Row],[Discount]],"%",""))/100</f>
        <v>0.1</v>
      </c>
    </row>
    <row r="576" spans="1:11" x14ac:dyDescent="0.35">
      <c r="A576">
        <v>1574</v>
      </c>
      <c r="B576" s="1">
        <v>45715</v>
      </c>
      <c r="C576" t="s">
        <v>565</v>
      </c>
      <c r="D576" t="s">
        <v>980</v>
      </c>
      <c r="E576" t="s">
        <v>989</v>
      </c>
      <c r="F576" t="s">
        <v>999</v>
      </c>
      <c r="G576">
        <v>10</v>
      </c>
      <c r="H576">
        <v>250</v>
      </c>
      <c r="I576" t="s">
        <v>1000</v>
      </c>
      <c r="J576">
        <f>Table1[[#This Row],[Quantity]]*Table1[[#This Row],[Price]]*(1-Table1[[#This Row],[Discount]])</f>
        <v>2375</v>
      </c>
      <c r="K576">
        <f>VALUE(SUBSTITUTE(Table1[[#This Row],[Discount]],"%",""))/100</f>
        <v>0.05</v>
      </c>
    </row>
    <row r="577" spans="1:11" x14ac:dyDescent="0.35">
      <c r="A577">
        <v>1575</v>
      </c>
      <c r="B577" s="1">
        <v>45752</v>
      </c>
      <c r="C577" t="s">
        <v>566</v>
      </c>
      <c r="D577" t="s">
        <v>980</v>
      </c>
      <c r="E577" t="s">
        <v>984</v>
      </c>
      <c r="F577" t="s">
        <v>998</v>
      </c>
      <c r="G577">
        <v>10</v>
      </c>
      <c r="H577">
        <v>100</v>
      </c>
      <c r="I577" t="s">
        <v>1002</v>
      </c>
      <c r="J577">
        <f>Table1[[#This Row],[Quantity]]*Table1[[#This Row],[Price]]*(1-Table1[[#This Row],[Discount]])</f>
        <v>800</v>
      </c>
      <c r="K577">
        <f>VALUE(SUBSTITUTE(Table1[[#This Row],[Discount]],"%",""))/100</f>
        <v>0.2</v>
      </c>
    </row>
    <row r="578" spans="1:11" x14ac:dyDescent="0.35">
      <c r="A578">
        <v>1576</v>
      </c>
      <c r="B578" s="1">
        <v>45694</v>
      </c>
      <c r="C578" t="s">
        <v>567</v>
      </c>
      <c r="D578" t="s">
        <v>978</v>
      </c>
      <c r="E578" t="s">
        <v>983</v>
      </c>
      <c r="F578" t="s">
        <v>997</v>
      </c>
      <c r="G578">
        <v>3</v>
      </c>
      <c r="H578">
        <v>4500</v>
      </c>
      <c r="I578" t="s">
        <v>1002</v>
      </c>
      <c r="J578">
        <f>Table1[[#This Row],[Quantity]]*Table1[[#This Row],[Price]]*(1-Table1[[#This Row],[Discount]])</f>
        <v>10800</v>
      </c>
      <c r="K578">
        <f>VALUE(SUBSTITUTE(Table1[[#This Row],[Discount]],"%",""))/100</f>
        <v>0.2</v>
      </c>
    </row>
    <row r="579" spans="1:11" x14ac:dyDescent="0.35">
      <c r="A579">
        <v>1577</v>
      </c>
      <c r="B579" s="1">
        <v>45796</v>
      </c>
      <c r="C579" t="s">
        <v>568</v>
      </c>
      <c r="D579" t="s">
        <v>981</v>
      </c>
      <c r="E579" t="s">
        <v>995</v>
      </c>
      <c r="F579" t="s">
        <v>997</v>
      </c>
      <c r="G579">
        <v>4</v>
      </c>
      <c r="H579">
        <v>500</v>
      </c>
      <c r="I579" t="s">
        <v>1001</v>
      </c>
      <c r="J579">
        <f>Table1[[#This Row],[Quantity]]*Table1[[#This Row],[Price]]*(1-Table1[[#This Row],[Discount]])</f>
        <v>2000</v>
      </c>
      <c r="K579">
        <f>VALUE(SUBSTITUTE(Table1[[#This Row],[Discount]],"%",""))/100</f>
        <v>0</v>
      </c>
    </row>
    <row r="580" spans="1:11" x14ac:dyDescent="0.35">
      <c r="A580">
        <v>1578</v>
      </c>
      <c r="B580" s="1">
        <v>45661</v>
      </c>
      <c r="C580" t="s">
        <v>569</v>
      </c>
      <c r="D580" t="s">
        <v>981</v>
      </c>
      <c r="E580" t="s">
        <v>992</v>
      </c>
      <c r="F580" t="s">
        <v>998</v>
      </c>
      <c r="G580">
        <v>7</v>
      </c>
      <c r="H580">
        <v>2500</v>
      </c>
      <c r="I580" t="s">
        <v>1004</v>
      </c>
      <c r="J580">
        <f>Table1[[#This Row],[Quantity]]*Table1[[#This Row],[Price]]*(1-Table1[[#This Row],[Discount]])</f>
        <v>15750</v>
      </c>
      <c r="K580">
        <f>VALUE(SUBSTITUTE(Table1[[#This Row],[Discount]],"%",""))/100</f>
        <v>0.1</v>
      </c>
    </row>
    <row r="581" spans="1:11" x14ac:dyDescent="0.35">
      <c r="A581">
        <v>1579</v>
      </c>
      <c r="B581" s="1">
        <v>45507</v>
      </c>
      <c r="C581" t="s">
        <v>570</v>
      </c>
      <c r="D581" t="s">
        <v>978</v>
      </c>
      <c r="E581" t="s">
        <v>988</v>
      </c>
      <c r="F581" t="s">
        <v>999</v>
      </c>
      <c r="G581">
        <v>6</v>
      </c>
      <c r="H581">
        <v>4500</v>
      </c>
      <c r="I581" t="s">
        <v>1002</v>
      </c>
      <c r="J581">
        <f>Table1[[#This Row],[Quantity]]*Table1[[#This Row],[Price]]*(1-Table1[[#This Row],[Discount]])</f>
        <v>21600</v>
      </c>
      <c r="K581">
        <f>VALUE(SUBSTITUTE(Table1[[#This Row],[Discount]],"%",""))/100</f>
        <v>0.2</v>
      </c>
    </row>
    <row r="582" spans="1:11" x14ac:dyDescent="0.35">
      <c r="A582">
        <v>1580</v>
      </c>
      <c r="B582" s="1">
        <v>45663</v>
      </c>
      <c r="C582" t="s">
        <v>571</v>
      </c>
      <c r="D582" t="s">
        <v>979</v>
      </c>
      <c r="E582" t="s">
        <v>986</v>
      </c>
      <c r="F582" t="s">
        <v>997</v>
      </c>
      <c r="G582">
        <v>3</v>
      </c>
      <c r="H582">
        <v>250</v>
      </c>
      <c r="I582" t="s">
        <v>1001</v>
      </c>
      <c r="J582">
        <f>Table1[[#This Row],[Quantity]]*Table1[[#This Row],[Price]]*(1-Table1[[#This Row],[Discount]])</f>
        <v>750</v>
      </c>
      <c r="K582">
        <f>VALUE(SUBSTITUTE(Table1[[#This Row],[Discount]],"%",""))/100</f>
        <v>0</v>
      </c>
    </row>
    <row r="583" spans="1:11" x14ac:dyDescent="0.35">
      <c r="A583">
        <v>1581</v>
      </c>
      <c r="B583" s="1">
        <v>45722</v>
      </c>
      <c r="C583" t="s">
        <v>572</v>
      </c>
      <c r="D583" t="s">
        <v>980</v>
      </c>
      <c r="E583" t="s">
        <v>987</v>
      </c>
      <c r="F583" t="s">
        <v>999</v>
      </c>
      <c r="G583">
        <v>6</v>
      </c>
      <c r="H583">
        <v>250</v>
      </c>
      <c r="I583" t="s">
        <v>1004</v>
      </c>
      <c r="J583">
        <f>Table1[[#This Row],[Quantity]]*Table1[[#This Row],[Price]]*(1-Table1[[#This Row],[Discount]])</f>
        <v>1350</v>
      </c>
      <c r="K583">
        <f>VALUE(SUBSTITUTE(Table1[[#This Row],[Discount]],"%",""))/100</f>
        <v>0.1</v>
      </c>
    </row>
    <row r="584" spans="1:11" x14ac:dyDescent="0.35">
      <c r="A584">
        <v>1582</v>
      </c>
      <c r="B584" s="1">
        <v>45766</v>
      </c>
      <c r="C584" t="s">
        <v>573</v>
      </c>
      <c r="D584" t="s">
        <v>980</v>
      </c>
      <c r="E584" t="s">
        <v>990</v>
      </c>
      <c r="F584" t="s">
        <v>998</v>
      </c>
      <c r="G584">
        <v>9</v>
      </c>
      <c r="H584">
        <v>1000</v>
      </c>
      <c r="I584" t="s">
        <v>1002</v>
      </c>
      <c r="J584">
        <f>Table1[[#This Row],[Quantity]]*Table1[[#This Row],[Price]]*(1-Table1[[#This Row],[Discount]])</f>
        <v>7200</v>
      </c>
      <c r="K584">
        <f>VALUE(SUBSTITUTE(Table1[[#This Row],[Discount]],"%",""))/100</f>
        <v>0.2</v>
      </c>
    </row>
    <row r="585" spans="1:11" x14ac:dyDescent="0.35">
      <c r="A585">
        <v>1583</v>
      </c>
      <c r="B585" s="1">
        <v>45782</v>
      </c>
      <c r="C585" t="s">
        <v>574</v>
      </c>
      <c r="D585" t="s">
        <v>978</v>
      </c>
      <c r="E585" t="s">
        <v>982</v>
      </c>
      <c r="F585" t="s">
        <v>997</v>
      </c>
      <c r="G585">
        <v>7</v>
      </c>
      <c r="H585">
        <v>100</v>
      </c>
      <c r="I585" t="s">
        <v>1004</v>
      </c>
      <c r="J585">
        <f>Table1[[#This Row],[Quantity]]*Table1[[#This Row],[Price]]*(1-Table1[[#This Row],[Discount]])</f>
        <v>630</v>
      </c>
      <c r="K585">
        <f>VALUE(SUBSTITUTE(Table1[[#This Row],[Discount]],"%",""))/100</f>
        <v>0.1</v>
      </c>
    </row>
    <row r="586" spans="1:11" x14ac:dyDescent="0.35">
      <c r="A586">
        <v>1584</v>
      </c>
      <c r="B586" s="1">
        <v>45809</v>
      </c>
      <c r="C586" t="s">
        <v>575</v>
      </c>
      <c r="D586" t="s">
        <v>980</v>
      </c>
      <c r="E586" t="s">
        <v>987</v>
      </c>
      <c r="F586" t="s">
        <v>999</v>
      </c>
      <c r="G586">
        <v>8</v>
      </c>
      <c r="H586">
        <v>100</v>
      </c>
      <c r="I586" t="s">
        <v>1001</v>
      </c>
      <c r="J586">
        <f>Table1[[#This Row],[Quantity]]*Table1[[#This Row],[Price]]*(1-Table1[[#This Row],[Discount]])</f>
        <v>800</v>
      </c>
      <c r="K586">
        <f>VALUE(SUBSTITUTE(Table1[[#This Row],[Discount]],"%",""))/100</f>
        <v>0</v>
      </c>
    </row>
    <row r="587" spans="1:11" x14ac:dyDescent="0.35">
      <c r="A587">
        <v>1585</v>
      </c>
      <c r="B587" s="1">
        <v>45572</v>
      </c>
      <c r="C587" t="s">
        <v>576</v>
      </c>
      <c r="D587" t="s">
        <v>978</v>
      </c>
      <c r="E587" t="s">
        <v>987</v>
      </c>
      <c r="F587" t="s">
        <v>999</v>
      </c>
      <c r="G587">
        <v>1</v>
      </c>
      <c r="H587">
        <v>1000</v>
      </c>
      <c r="I587" t="s">
        <v>1003</v>
      </c>
      <c r="J587">
        <f>Table1[[#This Row],[Quantity]]*Table1[[#This Row],[Price]]*(1-Table1[[#This Row],[Discount]])</f>
        <v>850</v>
      </c>
      <c r="K587">
        <f>VALUE(SUBSTITUTE(Table1[[#This Row],[Discount]],"%",""))/100</f>
        <v>0.15</v>
      </c>
    </row>
    <row r="588" spans="1:11" x14ac:dyDescent="0.35">
      <c r="A588">
        <v>1586</v>
      </c>
      <c r="B588" s="1">
        <v>45523</v>
      </c>
      <c r="C588" t="s">
        <v>577</v>
      </c>
      <c r="D588" t="s">
        <v>978</v>
      </c>
      <c r="E588" t="s">
        <v>996</v>
      </c>
      <c r="F588" t="s">
        <v>999</v>
      </c>
      <c r="G588">
        <v>10</v>
      </c>
      <c r="H588">
        <v>250</v>
      </c>
      <c r="I588" t="s">
        <v>1000</v>
      </c>
      <c r="J588">
        <f>Table1[[#This Row],[Quantity]]*Table1[[#This Row],[Price]]*(1-Table1[[#This Row],[Discount]])</f>
        <v>2375</v>
      </c>
      <c r="K588">
        <f>VALUE(SUBSTITUTE(Table1[[#This Row],[Discount]],"%",""))/100</f>
        <v>0.05</v>
      </c>
    </row>
    <row r="589" spans="1:11" x14ac:dyDescent="0.35">
      <c r="A589">
        <v>1587</v>
      </c>
      <c r="B589" s="1">
        <v>45818</v>
      </c>
      <c r="C589" t="s">
        <v>578</v>
      </c>
      <c r="D589" t="s">
        <v>980</v>
      </c>
      <c r="E589" t="s">
        <v>992</v>
      </c>
      <c r="F589" t="s">
        <v>998</v>
      </c>
      <c r="G589">
        <v>4</v>
      </c>
      <c r="H589">
        <v>1000</v>
      </c>
      <c r="I589" t="s">
        <v>1004</v>
      </c>
      <c r="J589">
        <f>Table1[[#This Row],[Quantity]]*Table1[[#This Row],[Price]]*(1-Table1[[#This Row],[Discount]])</f>
        <v>3600</v>
      </c>
      <c r="K589">
        <f>VALUE(SUBSTITUTE(Table1[[#This Row],[Discount]],"%",""))/100</f>
        <v>0.1</v>
      </c>
    </row>
    <row r="590" spans="1:11" x14ac:dyDescent="0.35">
      <c r="A590">
        <v>1588</v>
      </c>
      <c r="B590" s="1">
        <v>45828</v>
      </c>
      <c r="C590" t="s">
        <v>579</v>
      </c>
      <c r="D590" t="s">
        <v>981</v>
      </c>
      <c r="E590" t="s">
        <v>993</v>
      </c>
      <c r="F590" t="s">
        <v>999</v>
      </c>
      <c r="G590">
        <v>5</v>
      </c>
      <c r="H590">
        <v>500</v>
      </c>
      <c r="I590" t="s">
        <v>1002</v>
      </c>
      <c r="J590">
        <f>Table1[[#This Row],[Quantity]]*Table1[[#This Row],[Price]]*(1-Table1[[#This Row],[Discount]])</f>
        <v>2000</v>
      </c>
      <c r="K590">
        <f>VALUE(SUBSTITUTE(Table1[[#This Row],[Discount]],"%",""))/100</f>
        <v>0.2</v>
      </c>
    </row>
    <row r="591" spans="1:11" x14ac:dyDescent="0.35">
      <c r="A591">
        <v>1589</v>
      </c>
      <c r="B591" s="1">
        <v>45585</v>
      </c>
      <c r="C591" t="s">
        <v>580</v>
      </c>
      <c r="D591" t="s">
        <v>981</v>
      </c>
      <c r="E591" t="s">
        <v>991</v>
      </c>
      <c r="F591" t="s">
        <v>998</v>
      </c>
      <c r="G591">
        <v>5</v>
      </c>
      <c r="H591">
        <v>500</v>
      </c>
      <c r="I591" t="s">
        <v>1000</v>
      </c>
      <c r="J591">
        <f>Table1[[#This Row],[Quantity]]*Table1[[#This Row],[Price]]*(1-Table1[[#This Row],[Discount]])</f>
        <v>2375</v>
      </c>
      <c r="K591">
        <f>VALUE(SUBSTITUTE(Table1[[#This Row],[Discount]],"%",""))/100</f>
        <v>0.05</v>
      </c>
    </row>
    <row r="592" spans="1:11" x14ac:dyDescent="0.35">
      <c r="A592">
        <v>1590</v>
      </c>
      <c r="B592" s="1">
        <v>45759</v>
      </c>
      <c r="C592" t="s">
        <v>581</v>
      </c>
      <c r="D592" t="s">
        <v>978</v>
      </c>
      <c r="E592" t="s">
        <v>989</v>
      </c>
      <c r="F592" t="s">
        <v>999</v>
      </c>
      <c r="G592">
        <v>10</v>
      </c>
      <c r="H592">
        <v>500</v>
      </c>
      <c r="I592" t="s">
        <v>1003</v>
      </c>
      <c r="J592">
        <f>Table1[[#This Row],[Quantity]]*Table1[[#This Row],[Price]]*(1-Table1[[#This Row],[Discount]])</f>
        <v>4250</v>
      </c>
      <c r="K592">
        <f>VALUE(SUBSTITUTE(Table1[[#This Row],[Discount]],"%",""))/100</f>
        <v>0.15</v>
      </c>
    </row>
    <row r="593" spans="1:11" x14ac:dyDescent="0.35">
      <c r="A593">
        <v>1591</v>
      </c>
      <c r="B593" s="1">
        <v>45507</v>
      </c>
      <c r="C593" t="s">
        <v>582</v>
      </c>
      <c r="D593" t="s">
        <v>978</v>
      </c>
      <c r="E593" t="s">
        <v>986</v>
      </c>
      <c r="F593" t="s">
        <v>997</v>
      </c>
      <c r="G593">
        <v>8</v>
      </c>
      <c r="H593">
        <v>300</v>
      </c>
      <c r="I593" t="s">
        <v>1000</v>
      </c>
      <c r="J593">
        <f>Table1[[#This Row],[Quantity]]*Table1[[#This Row],[Price]]*(1-Table1[[#This Row],[Discount]])</f>
        <v>2280</v>
      </c>
      <c r="K593">
        <f>VALUE(SUBSTITUTE(Table1[[#This Row],[Discount]],"%",""))/100</f>
        <v>0.05</v>
      </c>
    </row>
    <row r="594" spans="1:11" x14ac:dyDescent="0.35">
      <c r="A594">
        <v>1592</v>
      </c>
      <c r="B594" s="1">
        <v>45706</v>
      </c>
      <c r="C594" t="s">
        <v>583</v>
      </c>
      <c r="D594" t="s">
        <v>978</v>
      </c>
      <c r="E594" t="s">
        <v>985</v>
      </c>
      <c r="F594" t="s">
        <v>998</v>
      </c>
      <c r="G594">
        <v>9</v>
      </c>
      <c r="H594">
        <v>300</v>
      </c>
      <c r="I594" t="s">
        <v>1003</v>
      </c>
      <c r="J594">
        <f>Table1[[#This Row],[Quantity]]*Table1[[#This Row],[Price]]*(1-Table1[[#This Row],[Discount]])</f>
        <v>2295</v>
      </c>
      <c r="K594">
        <f>VALUE(SUBSTITUTE(Table1[[#This Row],[Discount]],"%",""))/100</f>
        <v>0.15</v>
      </c>
    </row>
    <row r="595" spans="1:11" x14ac:dyDescent="0.35">
      <c r="A595">
        <v>1593</v>
      </c>
      <c r="B595" s="1">
        <v>45696</v>
      </c>
      <c r="C595" t="s">
        <v>584</v>
      </c>
      <c r="D595" t="s">
        <v>981</v>
      </c>
      <c r="E595" t="s">
        <v>991</v>
      </c>
      <c r="F595" t="s">
        <v>998</v>
      </c>
      <c r="G595">
        <v>9</v>
      </c>
      <c r="H595">
        <v>250</v>
      </c>
      <c r="I595" t="s">
        <v>1000</v>
      </c>
      <c r="J595">
        <f>Table1[[#This Row],[Quantity]]*Table1[[#This Row],[Price]]*(1-Table1[[#This Row],[Discount]])</f>
        <v>2137.5</v>
      </c>
      <c r="K595">
        <f>VALUE(SUBSTITUTE(Table1[[#This Row],[Discount]],"%",""))/100</f>
        <v>0.05</v>
      </c>
    </row>
    <row r="596" spans="1:11" x14ac:dyDescent="0.35">
      <c r="A596">
        <v>1594</v>
      </c>
      <c r="B596" s="1">
        <v>45854</v>
      </c>
      <c r="C596" t="s">
        <v>585</v>
      </c>
      <c r="D596" t="s">
        <v>981</v>
      </c>
      <c r="E596" t="s">
        <v>996</v>
      </c>
      <c r="F596" t="s">
        <v>999</v>
      </c>
      <c r="G596">
        <v>7</v>
      </c>
      <c r="H596">
        <v>1000</v>
      </c>
      <c r="I596" t="s">
        <v>1003</v>
      </c>
      <c r="J596">
        <f>Table1[[#This Row],[Quantity]]*Table1[[#This Row],[Price]]*(1-Table1[[#This Row],[Discount]])</f>
        <v>5950</v>
      </c>
      <c r="K596">
        <f>VALUE(SUBSTITUTE(Table1[[#This Row],[Discount]],"%",""))/100</f>
        <v>0.15</v>
      </c>
    </row>
    <row r="597" spans="1:11" x14ac:dyDescent="0.35">
      <c r="A597">
        <v>1595</v>
      </c>
      <c r="B597" s="1">
        <v>45594</v>
      </c>
      <c r="C597" t="s">
        <v>586</v>
      </c>
      <c r="D597" t="s">
        <v>978</v>
      </c>
      <c r="E597" t="s">
        <v>991</v>
      </c>
      <c r="F597" t="s">
        <v>998</v>
      </c>
      <c r="G597">
        <v>10</v>
      </c>
      <c r="H597">
        <v>1000</v>
      </c>
      <c r="I597" t="s">
        <v>1002</v>
      </c>
      <c r="J597">
        <f>Table1[[#This Row],[Quantity]]*Table1[[#This Row],[Price]]*(1-Table1[[#This Row],[Discount]])</f>
        <v>8000</v>
      </c>
      <c r="K597">
        <f>VALUE(SUBSTITUTE(Table1[[#This Row],[Discount]],"%",""))/100</f>
        <v>0.2</v>
      </c>
    </row>
    <row r="598" spans="1:11" x14ac:dyDescent="0.35">
      <c r="A598">
        <v>1596</v>
      </c>
      <c r="B598" s="1">
        <v>45604</v>
      </c>
      <c r="C598" t="s">
        <v>587</v>
      </c>
      <c r="D598" t="s">
        <v>978</v>
      </c>
      <c r="E598" t="s">
        <v>984</v>
      </c>
      <c r="F598" t="s">
        <v>998</v>
      </c>
      <c r="G598">
        <v>3</v>
      </c>
      <c r="H598">
        <v>4500</v>
      </c>
      <c r="I598" t="s">
        <v>1004</v>
      </c>
      <c r="J598">
        <f>Table1[[#This Row],[Quantity]]*Table1[[#This Row],[Price]]*(1-Table1[[#This Row],[Discount]])</f>
        <v>12150</v>
      </c>
      <c r="K598">
        <f>VALUE(SUBSTITUTE(Table1[[#This Row],[Discount]],"%",""))/100</f>
        <v>0.1</v>
      </c>
    </row>
    <row r="599" spans="1:11" x14ac:dyDescent="0.35">
      <c r="A599">
        <v>1597</v>
      </c>
      <c r="B599" s="1">
        <v>45679</v>
      </c>
      <c r="C599" t="s">
        <v>588</v>
      </c>
      <c r="D599" t="s">
        <v>981</v>
      </c>
      <c r="E599" t="s">
        <v>990</v>
      </c>
      <c r="F599" t="s">
        <v>998</v>
      </c>
      <c r="G599">
        <v>1</v>
      </c>
      <c r="H599">
        <v>2500</v>
      </c>
      <c r="I599" t="s">
        <v>1001</v>
      </c>
      <c r="J599">
        <f>Table1[[#This Row],[Quantity]]*Table1[[#This Row],[Price]]*(1-Table1[[#This Row],[Discount]])</f>
        <v>2500</v>
      </c>
      <c r="K599">
        <f>VALUE(SUBSTITUTE(Table1[[#This Row],[Discount]],"%",""))/100</f>
        <v>0</v>
      </c>
    </row>
    <row r="600" spans="1:11" x14ac:dyDescent="0.35">
      <c r="A600">
        <v>1598</v>
      </c>
      <c r="B600" s="1">
        <v>45766</v>
      </c>
      <c r="C600" t="s">
        <v>589</v>
      </c>
      <c r="D600" t="s">
        <v>980</v>
      </c>
      <c r="E600" t="s">
        <v>990</v>
      </c>
      <c r="F600" t="s">
        <v>998</v>
      </c>
      <c r="G600">
        <v>2</v>
      </c>
      <c r="H600">
        <v>300</v>
      </c>
      <c r="I600" t="s">
        <v>1003</v>
      </c>
      <c r="J600">
        <f>Table1[[#This Row],[Quantity]]*Table1[[#This Row],[Price]]*(1-Table1[[#This Row],[Discount]])</f>
        <v>510</v>
      </c>
      <c r="K600">
        <f>VALUE(SUBSTITUTE(Table1[[#This Row],[Discount]],"%",""))/100</f>
        <v>0.15</v>
      </c>
    </row>
    <row r="601" spans="1:11" x14ac:dyDescent="0.35">
      <c r="A601">
        <v>1599</v>
      </c>
      <c r="B601" s="1">
        <v>45753</v>
      </c>
      <c r="C601" t="s">
        <v>590</v>
      </c>
      <c r="D601" t="s">
        <v>980</v>
      </c>
      <c r="E601" t="s">
        <v>996</v>
      </c>
      <c r="F601" t="s">
        <v>999</v>
      </c>
      <c r="G601">
        <v>1</v>
      </c>
      <c r="H601">
        <v>2500</v>
      </c>
      <c r="I601" t="s">
        <v>1004</v>
      </c>
      <c r="J601">
        <f>Table1[[#This Row],[Quantity]]*Table1[[#This Row],[Price]]*(1-Table1[[#This Row],[Discount]])</f>
        <v>2250</v>
      </c>
      <c r="K601">
        <f>VALUE(SUBSTITUTE(Table1[[#This Row],[Discount]],"%",""))/100</f>
        <v>0.1</v>
      </c>
    </row>
    <row r="602" spans="1:11" x14ac:dyDescent="0.35">
      <c r="A602">
        <v>1600</v>
      </c>
      <c r="B602" s="1">
        <v>45715</v>
      </c>
      <c r="C602" t="s">
        <v>591</v>
      </c>
      <c r="D602" t="s">
        <v>980</v>
      </c>
      <c r="E602" t="s">
        <v>982</v>
      </c>
      <c r="F602" t="s">
        <v>997</v>
      </c>
      <c r="G602">
        <v>9</v>
      </c>
      <c r="H602">
        <v>250</v>
      </c>
      <c r="I602" t="s">
        <v>1003</v>
      </c>
      <c r="J602">
        <f>Table1[[#This Row],[Quantity]]*Table1[[#This Row],[Price]]*(1-Table1[[#This Row],[Discount]])</f>
        <v>1912.5</v>
      </c>
      <c r="K602">
        <f>VALUE(SUBSTITUTE(Table1[[#This Row],[Discount]],"%",""))/100</f>
        <v>0.15</v>
      </c>
    </row>
    <row r="603" spans="1:11" x14ac:dyDescent="0.35">
      <c r="A603">
        <v>1601</v>
      </c>
      <c r="B603" s="1">
        <v>45533</v>
      </c>
      <c r="C603" t="s">
        <v>592</v>
      </c>
      <c r="D603" t="s">
        <v>980</v>
      </c>
      <c r="E603" t="s">
        <v>995</v>
      </c>
      <c r="F603" t="s">
        <v>997</v>
      </c>
      <c r="G603">
        <v>7</v>
      </c>
      <c r="H603">
        <v>100</v>
      </c>
      <c r="I603" t="s">
        <v>1002</v>
      </c>
      <c r="J603">
        <f>Table1[[#This Row],[Quantity]]*Table1[[#This Row],[Price]]*(1-Table1[[#This Row],[Discount]])</f>
        <v>560</v>
      </c>
      <c r="K603">
        <f>VALUE(SUBSTITUTE(Table1[[#This Row],[Discount]],"%",""))/100</f>
        <v>0.2</v>
      </c>
    </row>
    <row r="604" spans="1:11" x14ac:dyDescent="0.35">
      <c r="A604">
        <v>1602</v>
      </c>
      <c r="B604" s="1">
        <v>45538</v>
      </c>
      <c r="C604" t="s">
        <v>593</v>
      </c>
      <c r="D604" t="s">
        <v>980</v>
      </c>
      <c r="E604" t="s">
        <v>996</v>
      </c>
      <c r="F604" t="s">
        <v>999</v>
      </c>
      <c r="G604">
        <v>7</v>
      </c>
      <c r="H604">
        <v>1000</v>
      </c>
      <c r="I604" t="s">
        <v>1004</v>
      </c>
      <c r="J604">
        <f>Table1[[#This Row],[Quantity]]*Table1[[#This Row],[Price]]*(1-Table1[[#This Row],[Discount]])</f>
        <v>6300</v>
      </c>
      <c r="K604">
        <f>VALUE(SUBSTITUTE(Table1[[#This Row],[Discount]],"%",""))/100</f>
        <v>0.1</v>
      </c>
    </row>
    <row r="605" spans="1:11" x14ac:dyDescent="0.35">
      <c r="A605">
        <v>1603</v>
      </c>
      <c r="B605" s="1">
        <v>45851</v>
      </c>
      <c r="C605" t="s">
        <v>594</v>
      </c>
      <c r="D605" t="s">
        <v>979</v>
      </c>
      <c r="E605" t="s">
        <v>995</v>
      </c>
      <c r="F605" t="s">
        <v>997</v>
      </c>
      <c r="G605">
        <v>3</v>
      </c>
      <c r="H605">
        <v>4500</v>
      </c>
      <c r="I605" t="s">
        <v>1003</v>
      </c>
      <c r="J605">
        <f>Table1[[#This Row],[Quantity]]*Table1[[#This Row],[Price]]*(1-Table1[[#This Row],[Discount]])</f>
        <v>11475</v>
      </c>
      <c r="K605">
        <f>VALUE(SUBSTITUTE(Table1[[#This Row],[Discount]],"%",""))/100</f>
        <v>0.15</v>
      </c>
    </row>
    <row r="606" spans="1:11" x14ac:dyDescent="0.35">
      <c r="A606">
        <v>1604</v>
      </c>
      <c r="B606" s="1">
        <v>45519</v>
      </c>
      <c r="C606" t="s">
        <v>595</v>
      </c>
      <c r="D606" t="s">
        <v>981</v>
      </c>
      <c r="E606" t="s">
        <v>995</v>
      </c>
      <c r="F606" t="s">
        <v>997</v>
      </c>
      <c r="G606">
        <v>3</v>
      </c>
      <c r="H606">
        <v>2500</v>
      </c>
      <c r="I606" t="s">
        <v>1003</v>
      </c>
      <c r="J606">
        <f>Table1[[#This Row],[Quantity]]*Table1[[#This Row],[Price]]*(1-Table1[[#This Row],[Discount]])</f>
        <v>6375</v>
      </c>
      <c r="K606">
        <f>VALUE(SUBSTITUTE(Table1[[#This Row],[Discount]],"%",""))/100</f>
        <v>0.15</v>
      </c>
    </row>
    <row r="607" spans="1:11" x14ac:dyDescent="0.35">
      <c r="A607">
        <v>1605</v>
      </c>
      <c r="B607" s="1">
        <v>45711</v>
      </c>
      <c r="C607" t="s">
        <v>596</v>
      </c>
      <c r="D607" t="s">
        <v>981</v>
      </c>
      <c r="E607" t="s">
        <v>983</v>
      </c>
      <c r="F607" t="s">
        <v>997</v>
      </c>
      <c r="G607">
        <v>8</v>
      </c>
      <c r="H607">
        <v>250</v>
      </c>
      <c r="I607" t="s">
        <v>1004</v>
      </c>
      <c r="J607">
        <f>Table1[[#This Row],[Quantity]]*Table1[[#This Row],[Price]]*(1-Table1[[#This Row],[Discount]])</f>
        <v>1800</v>
      </c>
      <c r="K607">
        <f>VALUE(SUBSTITUTE(Table1[[#This Row],[Discount]],"%",""))/100</f>
        <v>0.1</v>
      </c>
    </row>
    <row r="608" spans="1:11" x14ac:dyDescent="0.35">
      <c r="A608">
        <v>1606</v>
      </c>
      <c r="B608" s="1">
        <v>45623</v>
      </c>
      <c r="C608" t="s">
        <v>597</v>
      </c>
      <c r="D608" t="s">
        <v>981</v>
      </c>
      <c r="E608" t="s">
        <v>982</v>
      </c>
      <c r="F608" t="s">
        <v>997</v>
      </c>
      <c r="G608">
        <v>2</v>
      </c>
      <c r="H608">
        <v>250</v>
      </c>
      <c r="I608" t="s">
        <v>1003</v>
      </c>
      <c r="J608">
        <f>Table1[[#This Row],[Quantity]]*Table1[[#This Row],[Price]]*(1-Table1[[#This Row],[Discount]])</f>
        <v>425</v>
      </c>
      <c r="K608">
        <f>VALUE(SUBSTITUTE(Table1[[#This Row],[Discount]],"%",""))/100</f>
        <v>0.15</v>
      </c>
    </row>
    <row r="609" spans="1:11" x14ac:dyDescent="0.35">
      <c r="A609">
        <v>1607</v>
      </c>
      <c r="B609" s="1">
        <v>45819</v>
      </c>
      <c r="C609" t="s">
        <v>598</v>
      </c>
      <c r="D609" t="s">
        <v>980</v>
      </c>
      <c r="E609" t="s">
        <v>995</v>
      </c>
      <c r="F609" t="s">
        <v>997</v>
      </c>
      <c r="G609">
        <v>3</v>
      </c>
      <c r="H609">
        <v>2500</v>
      </c>
      <c r="I609" t="s">
        <v>1002</v>
      </c>
      <c r="J609">
        <f>Table1[[#This Row],[Quantity]]*Table1[[#This Row],[Price]]*(1-Table1[[#This Row],[Discount]])</f>
        <v>6000</v>
      </c>
      <c r="K609">
        <f>VALUE(SUBSTITUTE(Table1[[#This Row],[Discount]],"%",""))/100</f>
        <v>0.2</v>
      </c>
    </row>
    <row r="610" spans="1:11" x14ac:dyDescent="0.35">
      <c r="A610">
        <v>1608</v>
      </c>
      <c r="B610" s="1">
        <v>45564</v>
      </c>
      <c r="C610" t="s">
        <v>599</v>
      </c>
      <c r="D610" t="s">
        <v>979</v>
      </c>
      <c r="E610" t="s">
        <v>983</v>
      </c>
      <c r="F610" t="s">
        <v>997</v>
      </c>
      <c r="G610">
        <v>3</v>
      </c>
      <c r="H610">
        <v>300</v>
      </c>
      <c r="I610" t="s">
        <v>1000</v>
      </c>
      <c r="J610">
        <f>Table1[[#This Row],[Quantity]]*Table1[[#This Row],[Price]]*(1-Table1[[#This Row],[Discount]])</f>
        <v>855</v>
      </c>
      <c r="K610">
        <f>VALUE(SUBSTITUTE(Table1[[#This Row],[Discount]],"%",""))/100</f>
        <v>0.05</v>
      </c>
    </row>
    <row r="611" spans="1:11" x14ac:dyDescent="0.35">
      <c r="A611">
        <v>1609</v>
      </c>
      <c r="B611" s="1">
        <v>45763</v>
      </c>
      <c r="C611" t="s">
        <v>600</v>
      </c>
      <c r="E611" t="s">
        <v>993</v>
      </c>
      <c r="F611" t="s">
        <v>999</v>
      </c>
      <c r="G611">
        <v>3</v>
      </c>
      <c r="H611">
        <v>250</v>
      </c>
      <c r="I611" t="s">
        <v>1000</v>
      </c>
      <c r="J611">
        <f>Table1[[#This Row],[Quantity]]*Table1[[#This Row],[Price]]*(1-Table1[[#This Row],[Discount]])</f>
        <v>712.5</v>
      </c>
      <c r="K611">
        <f>VALUE(SUBSTITUTE(Table1[[#This Row],[Discount]],"%",""))/100</f>
        <v>0.05</v>
      </c>
    </row>
    <row r="612" spans="1:11" x14ac:dyDescent="0.35">
      <c r="A612">
        <v>1610</v>
      </c>
      <c r="B612" s="1">
        <v>45555</v>
      </c>
      <c r="C612" t="s">
        <v>601</v>
      </c>
      <c r="D612" t="s">
        <v>980</v>
      </c>
      <c r="E612" t="s">
        <v>996</v>
      </c>
      <c r="F612" t="s">
        <v>999</v>
      </c>
      <c r="G612">
        <v>9</v>
      </c>
      <c r="H612">
        <v>100</v>
      </c>
      <c r="I612" t="s">
        <v>1002</v>
      </c>
      <c r="J612">
        <f>Table1[[#This Row],[Quantity]]*Table1[[#This Row],[Price]]*(1-Table1[[#This Row],[Discount]])</f>
        <v>720</v>
      </c>
      <c r="K612">
        <f>VALUE(SUBSTITUTE(Table1[[#This Row],[Discount]],"%",""))/100</f>
        <v>0.2</v>
      </c>
    </row>
    <row r="613" spans="1:11" x14ac:dyDescent="0.35">
      <c r="A613">
        <v>1611</v>
      </c>
      <c r="B613" s="1">
        <v>45790</v>
      </c>
      <c r="C613" t="s">
        <v>602</v>
      </c>
      <c r="D613" t="s">
        <v>981</v>
      </c>
      <c r="E613" t="s">
        <v>996</v>
      </c>
      <c r="F613" t="s">
        <v>999</v>
      </c>
      <c r="G613">
        <v>2</v>
      </c>
      <c r="H613">
        <v>100</v>
      </c>
      <c r="I613" t="s">
        <v>1000</v>
      </c>
      <c r="J613">
        <f>Table1[[#This Row],[Quantity]]*Table1[[#This Row],[Price]]*(1-Table1[[#This Row],[Discount]])</f>
        <v>190</v>
      </c>
      <c r="K613">
        <f>VALUE(SUBSTITUTE(Table1[[#This Row],[Discount]],"%",""))/100</f>
        <v>0.05</v>
      </c>
    </row>
    <row r="614" spans="1:11" x14ac:dyDescent="0.35">
      <c r="A614">
        <v>1612</v>
      </c>
      <c r="B614" s="1">
        <v>45826</v>
      </c>
      <c r="C614" t="s">
        <v>603</v>
      </c>
      <c r="D614" t="s">
        <v>979</v>
      </c>
      <c r="E614" t="s">
        <v>990</v>
      </c>
      <c r="F614" t="s">
        <v>998</v>
      </c>
      <c r="G614">
        <v>3</v>
      </c>
      <c r="H614">
        <v>100</v>
      </c>
      <c r="I614" t="s">
        <v>1004</v>
      </c>
      <c r="J614">
        <f>Table1[[#This Row],[Quantity]]*Table1[[#This Row],[Price]]*(1-Table1[[#This Row],[Discount]])</f>
        <v>270</v>
      </c>
      <c r="K614">
        <f>VALUE(SUBSTITUTE(Table1[[#This Row],[Discount]],"%",""))/100</f>
        <v>0.1</v>
      </c>
    </row>
    <row r="615" spans="1:11" x14ac:dyDescent="0.35">
      <c r="A615">
        <v>1613</v>
      </c>
      <c r="B615" s="1">
        <v>45732</v>
      </c>
      <c r="C615" t="s">
        <v>604</v>
      </c>
      <c r="D615" t="s">
        <v>979</v>
      </c>
      <c r="E615" t="s">
        <v>986</v>
      </c>
      <c r="F615" t="s">
        <v>997</v>
      </c>
      <c r="G615">
        <v>6</v>
      </c>
      <c r="H615">
        <v>250</v>
      </c>
      <c r="I615" t="s">
        <v>1001</v>
      </c>
      <c r="J615">
        <f>Table1[[#This Row],[Quantity]]*Table1[[#This Row],[Price]]*(1-Table1[[#This Row],[Discount]])</f>
        <v>1500</v>
      </c>
      <c r="K615">
        <f>VALUE(SUBSTITUTE(Table1[[#This Row],[Discount]],"%",""))/100</f>
        <v>0</v>
      </c>
    </row>
    <row r="616" spans="1:11" x14ac:dyDescent="0.35">
      <c r="A616">
        <v>1614</v>
      </c>
      <c r="B616" s="1">
        <v>45607</v>
      </c>
      <c r="C616" t="s">
        <v>605</v>
      </c>
      <c r="D616" t="s">
        <v>981</v>
      </c>
      <c r="E616" t="s">
        <v>995</v>
      </c>
      <c r="F616" t="s">
        <v>997</v>
      </c>
      <c r="G616">
        <v>10</v>
      </c>
      <c r="H616">
        <v>300</v>
      </c>
      <c r="I616" t="s">
        <v>1003</v>
      </c>
      <c r="J616">
        <f>Table1[[#This Row],[Quantity]]*Table1[[#This Row],[Price]]*(1-Table1[[#This Row],[Discount]])</f>
        <v>2550</v>
      </c>
      <c r="K616">
        <f>VALUE(SUBSTITUTE(Table1[[#This Row],[Discount]],"%",""))/100</f>
        <v>0.15</v>
      </c>
    </row>
    <row r="617" spans="1:11" x14ac:dyDescent="0.35">
      <c r="A617">
        <v>1615</v>
      </c>
      <c r="B617" s="1">
        <v>45715</v>
      </c>
      <c r="C617" t="s">
        <v>606</v>
      </c>
      <c r="D617" t="s">
        <v>979</v>
      </c>
      <c r="E617" t="s">
        <v>996</v>
      </c>
      <c r="F617" t="s">
        <v>999</v>
      </c>
      <c r="G617">
        <v>2</v>
      </c>
      <c r="H617">
        <v>2500</v>
      </c>
      <c r="I617" t="s">
        <v>1002</v>
      </c>
      <c r="J617">
        <f>Table1[[#This Row],[Quantity]]*Table1[[#This Row],[Price]]*(1-Table1[[#This Row],[Discount]])</f>
        <v>4000</v>
      </c>
      <c r="K617">
        <f>VALUE(SUBSTITUTE(Table1[[#This Row],[Discount]],"%",""))/100</f>
        <v>0.2</v>
      </c>
    </row>
    <row r="618" spans="1:11" x14ac:dyDescent="0.35">
      <c r="A618">
        <v>1616</v>
      </c>
      <c r="B618" s="1">
        <v>45757</v>
      </c>
      <c r="C618" t="s">
        <v>607</v>
      </c>
      <c r="D618" t="s">
        <v>978</v>
      </c>
      <c r="E618" t="s">
        <v>993</v>
      </c>
      <c r="F618" t="s">
        <v>999</v>
      </c>
      <c r="G618">
        <v>9</v>
      </c>
      <c r="H618">
        <v>2500</v>
      </c>
      <c r="I618" t="s">
        <v>1002</v>
      </c>
      <c r="J618">
        <f>Table1[[#This Row],[Quantity]]*Table1[[#This Row],[Price]]*(1-Table1[[#This Row],[Discount]])</f>
        <v>18000</v>
      </c>
      <c r="K618">
        <f>VALUE(SUBSTITUTE(Table1[[#This Row],[Discount]],"%",""))/100</f>
        <v>0.2</v>
      </c>
    </row>
    <row r="619" spans="1:11" x14ac:dyDescent="0.35">
      <c r="A619">
        <v>1617</v>
      </c>
      <c r="B619" s="1">
        <v>45596</v>
      </c>
      <c r="C619" t="s">
        <v>608</v>
      </c>
      <c r="D619" t="s">
        <v>981</v>
      </c>
      <c r="E619" t="s">
        <v>995</v>
      </c>
      <c r="F619" t="s">
        <v>997</v>
      </c>
      <c r="G619">
        <v>2</v>
      </c>
      <c r="H619">
        <v>4500</v>
      </c>
      <c r="I619" t="s">
        <v>1002</v>
      </c>
      <c r="J619">
        <f>Table1[[#This Row],[Quantity]]*Table1[[#This Row],[Price]]*(1-Table1[[#This Row],[Discount]])</f>
        <v>7200</v>
      </c>
      <c r="K619">
        <f>VALUE(SUBSTITUTE(Table1[[#This Row],[Discount]],"%",""))/100</f>
        <v>0.2</v>
      </c>
    </row>
    <row r="620" spans="1:11" x14ac:dyDescent="0.35">
      <c r="A620">
        <v>1618</v>
      </c>
      <c r="B620" s="1">
        <v>45777</v>
      </c>
      <c r="C620" t="s">
        <v>609</v>
      </c>
      <c r="D620" t="s">
        <v>980</v>
      </c>
      <c r="E620" t="s">
        <v>995</v>
      </c>
      <c r="F620" t="s">
        <v>997</v>
      </c>
      <c r="G620">
        <v>6</v>
      </c>
      <c r="H620">
        <v>300</v>
      </c>
      <c r="I620" t="s">
        <v>1002</v>
      </c>
      <c r="J620">
        <f>Table1[[#This Row],[Quantity]]*Table1[[#This Row],[Price]]*(1-Table1[[#This Row],[Discount]])</f>
        <v>1440</v>
      </c>
      <c r="K620">
        <f>VALUE(SUBSTITUTE(Table1[[#This Row],[Discount]],"%",""))/100</f>
        <v>0.2</v>
      </c>
    </row>
    <row r="621" spans="1:11" x14ac:dyDescent="0.35">
      <c r="A621">
        <v>1619</v>
      </c>
      <c r="B621" s="1">
        <v>45641</v>
      </c>
      <c r="C621" t="s">
        <v>610</v>
      </c>
      <c r="D621" t="s">
        <v>979</v>
      </c>
      <c r="E621" t="s">
        <v>991</v>
      </c>
      <c r="F621" t="s">
        <v>998</v>
      </c>
      <c r="G621">
        <v>4</v>
      </c>
      <c r="H621">
        <v>1000</v>
      </c>
      <c r="I621" t="s">
        <v>1000</v>
      </c>
      <c r="J621">
        <f>Table1[[#This Row],[Quantity]]*Table1[[#This Row],[Price]]*(1-Table1[[#This Row],[Discount]])</f>
        <v>3800</v>
      </c>
      <c r="K621">
        <f>VALUE(SUBSTITUTE(Table1[[#This Row],[Discount]],"%",""))/100</f>
        <v>0.05</v>
      </c>
    </row>
    <row r="622" spans="1:11" x14ac:dyDescent="0.35">
      <c r="A622">
        <v>1620</v>
      </c>
      <c r="B622" s="1">
        <v>45640</v>
      </c>
      <c r="C622" t="s">
        <v>611</v>
      </c>
      <c r="D622" t="s">
        <v>979</v>
      </c>
      <c r="E622" t="s">
        <v>983</v>
      </c>
      <c r="F622" t="s">
        <v>997</v>
      </c>
      <c r="G622">
        <v>10</v>
      </c>
      <c r="H622">
        <v>2500</v>
      </c>
      <c r="I622" t="s">
        <v>1003</v>
      </c>
      <c r="J622">
        <f>Table1[[#This Row],[Quantity]]*Table1[[#This Row],[Price]]*(1-Table1[[#This Row],[Discount]])</f>
        <v>21250</v>
      </c>
      <c r="K622">
        <f>VALUE(SUBSTITUTE(Table1[[#This Row],[Discount]],"%",""))/100</f>
        <v>0.15</v>
      </c>
    </row>
    <row r="623" spans="1:11" x14ac:dyDescent="0.35">
      <c r="A623">
        <v>1621</v>
      </c>
      <c r="B623" s="1">
        <v>45668</v>
      </c>
      <c r="C623" t="s">
        <v>612</v>
      </c>
      <c r="D623" t="s">
        <v>981</v>
      </c>
      <c r="E623" t="s">
        <v>990</v>
      </c>
      <c r="F623" t="s">
        <v>998</v>
      </c>
      <c r="G623">
        <v>5</v>
      </c>
      <c r="H623">
        <v>1000</v>
      </c>
      <c r="I623" t="s">
        <v>1001</v>
      </c>
      <c r="J623">
        <f>Table1[[#This Row],[Quantity]]*Table1[[#This Row],[Price]]*(1-Table1[[#This Row],[Discount]])</f>
        <v>5000</v>
      </c>
      <c r="K623">
        <f>VALUE(SUBSTITUTE(Table1[[#This Row],[Discount]],"%",""))/100</f>
        <v>0</v>
      </c>
    </row>
    <row r="624" spans="1:11" x14ac:dyDescent="0.35">
      <c r="A624">
        <v>1622</v>
      </c>
      <c r="B624" s="1">
        <v>45511</v>
      </c>
      <c r="C624" t="s">
        <v>613</v>
      </c>
      <c r="D624" t="s">
        <v>979</v>
      </c>
      <c r="E624" t="s">
        <v>985</v>
      </c>
      <c r="F624" t="s">
        <v>998</v>
      </c>
      <c r="G624">
        <v>6</v>
      </c>
      <c r="H624">
        <v>2500</v>
      </c>
      <c r="I624" t="s">
        <v>1002</v>
      </c>
      <c r="J624">
        <f>Table1[[#This Row],[Quantity]]*Table1[[#This Row],[Price]]*(1-Table1[[#This Row],[Discount]])</f>
        <v>12000</v>
      </c>
      <c r="K624">
        <f>VALUE(SUBSTITUTE(Table1[[#This Row],[Discount]],"%",""))/100</f>
        <v>0.2</v>
      </c>
    </row>
    <row r="625" spans="1:11" x14ac:dyDescent="0.35">
      <c r="A625">
        <v>1623</v>
      </c>
      <c r="B625" s="1">
        <v>45805</v>
      </c>
      <c r="C625" t="s">
        <v>614</v>
      </c>
      <c r="D625" t="s">
        <v>980</v>
      </c>
      <c r="E625" t="s">
        <v>994</v>
      </c>
      <c r="F625" t="s">
        <v>997</v>
      </c>
      <c r="G625">
        <v>8</v>
      </c>
      <c r="H625">
        <v>100</v>
      </c>
      <c r="I625" t="s">
        <v>1000</v>
      </c>
      <c r="J625">
        <f>Table1[[#This Row],[Quantity]]*Table1[[#This Row],[Price]]*(1-Table1[[#This Row],[Discount]])</f>
        <v>760</v>
      </c>
      <c r="K625">
        <f>VALUE(SUBSTITUTE(Table1[[#This Row],[Discount]],"%",""))/100</f>
        <v>0.05</v>
      </c>
    </row>
    <row r="626" spans="1:11" x14ac:dyDescent="0.35">
      <c r="A626">
        <v>1624</v>
      </c>
      <c r="B626" s="1">
        <v>45651</v>
      </c>
      <c r="C626" t="s">
        <v>615</v>
      </c>
      <c r="D626" t="s">
        <v>981</v>
      </c>
      <c r="E626" t="s">
        <v>996</v>
      </c>
      <c r="F626" t="s">
        <v>999</v>
      </c>
      <c r="G626">
        <v>7</v>
      </c>
      <c r="H626">
        <v>100</v>
      </c>
      <c r="I626" t="s">
        <v>1002</v>
      </c>
      <c r="J626">
        <f>Table1[[#This Row],[Quantity]]*Table1[[#This Row],[Price]]*(1-Table1[[#This Row],[Discount]])</f>
        <v>560</v>
      </c>
      <c r="K626">
        <f>VALUE(SUBSTITUTE(Table1[[#This Row],[Discount]],"%",""))/100</f>
        <v>0.2</v>
      </c>
    </row>
    <row r="627" spans="1:11" x14ac:dyDescent="0.35">
      <c r="A627">
        <v>1625</v>
      </c>
      <c r="B627" s="1">
        <v>45595</v>
      </c>
      <c r="C627" t="s">
        <v>616</v>
      </c>
      <c r="D627" t="s">
        <v>979</v>
      </c>
      <c r="E627" t="s">
        <v>990</v>
      </c>
      <c r="F627" t="s">
        <v>998</v>
      </c>
      <c r="G627">
        <v>10</v>
      </c>
      <c r="H627">
        <v>1500</v>
      </c>
      <c r="I627" t="s">
        <v>1004</v>
      </c>
      <c r="J627">
        <f>Table1[[#This Row],[Quantity]]*Table1[[#This Row],[Price]]*(1-Table1[[#This Row],[Discount]])</f>
        <v>13500</v>
      </c>
      <c r="K627">
        <f>VALUE(SUBSTITUTE(Table1[[#This Row],[Discount]],"%",""))/100</f>
        <v>0.1</v>
      </c>
    </row>
    <row r="628" spans="1:11" x14ac:dyDescent="0.35">
      <c r="A628">
        <v>1626</v>
      </c>
      <c r="B628" s="1">
        <v>45554</v>
      </c>
      <c r="C628" t="s">
        <v>617</v>
      </c>
      <c r="D628" t="s">
        <v>979</v>
      </c>
      <c r="E628" t="s">
        <v>989</v>
      </c>
      <c r="F628" t="s">
        <v>999</v>
      </c>
      <c r="G628">
        <v>3</v>
      </c>
      <c r="H628">
        <v>2500</v>
      </c>
      <c r="I628" t="s">
        <v>1000</v>
      </c>
      <c r="J628">
        <f>Table1[[#This Row],[Quantity]]*Table1[[#This Row],[Price]]*(1-Table1[[#This Row],[Discount]])</f>
        <v>7125</v>
      </c>
      <c r="K628">
        <f>VALUE(SUBSTITUTE(Table1[[#This Row],[Discount]],"%",""))/100</f>
        <v>0.05</v>
      </c>
    </row>
    <row r="629" spans="1:11" x14ac:dyDescent="0.35">
      <c r="A629">
        <v>1627</v>
      </c>
      <c r="B629" s="1">
        <v>45565</v>
      </c>
      <c r="C629" t="s">
        <v>618</v>
      </c>
      <c r="D629" t="s">
        <v>980</v>
      </c>
      <c r="E629" t="s">
        <v>987</v>
      </c>
      <c r="F629" t="s">
        <v>999</v>
      </c>
      <c r="G629">
        <v>5</v>
      </c>
      <c r="H629">
        <v>2500</v>
      </c>
      <c r="I629" t="s">
        <v>1001</v>
      </c>
      <c r="J629">
        <f>Table1[[#This Row],[Quantity]]*Table1[[#This Row],[Price]]*(1-Table1[[#This Row],[Discount]])</f>
        <v>12500</v>
      </c>
      <c r="K629">
        <f>VALUE(SUBSTITUTE(Table1[[#This Row],[Discount]],"%",""))/100</f>
        <v>0</v>
      </c>
    </row>
    <row r="630" spans="1:11" x14ac:dyDescent="0.35">
      <c r="A630">
        <v>1628</v>
      </c>
      <c r="B630" s="1">
        <v>45530</v>
      </c>
      <c r="C630" t="s">
        <v>619</v>
      </c>
      <c r="D630" t="s">
        <v>979</v>
      </c>
      <c r="E630" t="s">
        <v>988</v>
      </c>
      <c r="F630" t="s">
        <v>999</v>
      </c>
      <c r="G630">
        <v>9</v>
      </c>
      <c r="H630">
        <v>1000</v>
      </c>
      <c r="I630" t="s">
        <v>1000</v>
      </c>
      <c r="J630">
        <f>Table1[[#This Row],[Quantity]]*Table1[[#This Row],[Price]]*(1-Table1[[#This Row],[Discount]])</f>
        <v>8550</v>
      </c>
      <c r="K630">
        <f>VALUE(SUBSTITUTE(Table1[[#This Row],[Discount]],"%",""))/100</f>
        <v>0.05</v>
      </c>
    </row>
    <row r="631" spans="1:11" x14ac:dyDescent="0.35">
      <c r="A631">
        <v>1629</v>
      </c>
      <c r="B631" s="1">
        <v>45693</v>
      </c>
      <c r="C631" t="s">
        <v>620</v>
      </c>
      <c r="D631" t="s">
        <v>978</v>
      </c>
      <c r="E631" t="s">
        <v>984</v>
      </c>
      <c r="F631" t="s">
        <v>998</v>
      </c>
      <c r="G631">
        <v>9</v>
      </c>
      <c r="H631">
        <v>100</v>
      </c>
      <c r="I631" t="s">
        <v>1003</v>
      </c>
      <c r="J631">
        <f>Table1[[#This Row],[Quantity]]*Table1[[#This Row],[Price]]*(1-Table1[[#This Row],[Discount]])</f>
        <v>765</v>
      </c>
      <c r="K631">
        <f>VALUE(SUBSTITUTE(Table1[[#This Row],[Discount]],"%",""))/100</f>
        <v>0.15</v>
      </c>
    </row>
    <row r="632" spans="1:11" x14ac:dyDescent="0.35">
      <c r="A632">
        <v>1630</v>
      </c>
      <c r="B632" s="1">
        <v>45619</v>
      </c>
      <c r="C632" t="s">
        <v>621</v>
      </c>
      <c r="D632" t="s">
        <v>978</v>
      </c>
      <c r="E632" t="s">
        <v>986</v>
      </c>
      <c r="F632" t="s">
        <v>997</v>
      </c>
      <c r="G632">
        <v>6</v>
      </c>
      <c r="H632">
        <v>300</v>
      </c>
      <c r="I632" t="s">
        <v>1001</v>
      </c>
      <c r="J632">
        <f>Table1[[#This Row],[Quantity]]*Table1[[#This Row],[Price]]*(1-Table1[[#This Row],[Discount]])</f>
        <v>1800</v>
      </c>
      <c r="K632">
        <f>VALUE(SUBSTITUTE(Table1[[#This Row],[Discount]],"%",""))/100</f>
        <v>0</v>
      </c>
    </row>
    <row r="633" spans="1:11" x14ac:dyDescent="0.35">
      <c r="A633">
        <v>1631</v>
      </c>
      <c r="B633" s="1">
        <v>45648</v>
      </c>
      <c r="C633" t="s">
        <v>622</v>
      </c>
      <c r="D633" t="s">
        <v>979</v>
      </c>
      <c r="E633" t="s">
        <v>982</v>
      </c>
      <c r="F633" t="s">
        <v>997</v>
      </c>
      <c r="G633">
        <v>1</v>
      </c>
      <c r="H633">
        <v>1000</v>
      </c>
      <c r="I633" t="s">
        <v>1001</v>
      </c>
      <c r="J633">
        <f>Table1[[#This Row],[Quantity]]*Table1[[#This Row],[Price]]*(1-Table1[[#This Row],[Discount]])</f>
        <v>1000</v>
      </c>
      <c r="K633">
        <f>VALUE(SUBSTITUTE(Table1[[#This Row],[Discount]],"%",""))/100</f>
        <v>0</v>
      </c>
    </row>
    <row r="634" spans="1:11" x14ac:dyDescent="0.35">
      <c r="A634">
        <v>1632</v>
      </c>
      <c r="B634" s="1">
        <v>45817</v>
      </c>
      <c r="C634" t="s">
        <v>623</v>
      </c>
      <c r="D634" t="s">
        <v>981</v>
      </c>
      <c r="E634" t="s">
        <v>986</v>
      </c>
      <c r="F634" t="s">
        <v>997</v>
      </c>
      <c r="G634">
        <v>1</v>
      </c>
      <c r="H634">
        <v>1000</v>
      </c>
      <c r="I634" t="s">
        <v>1000</v>
      </c>
      <c r="J634">
        <f>Table1[[#This Row],[Quantity]]*Table1[[#This Row],[Price]]*(1-Table1[[#This Row],[Discount]])</f>
        <v>950</v>
      </c>
      <c r="K634">
        <f>VALUE(SUBSTITUTE(Table1[[#This Row],[Discount]],"%",""))/100</f>
        <v>0.05</v>
      </c>
    </row>
    <row r="635" spans="1:11" x14ac:dyDescent="0.35">
      <c r="A635">
        <v>1633</v>
      </c>
      <c r="B635" s="1">
        <v>45617</v>
      </c>
      <c r="C635" t="s">
        <v>624</v>
      </c>
      <c r="D635" t="s">
        <v>981</v>
      </c>
      <c r="E635" t="s">
        <v>987</v>
      </c>
      <c r="F635" t="s">
        <v>999</v>
      </c>
      <c r="G635">
        <v>5</v>
      </c>
      <c r="H635">
        <v>300</v>
      </c>
      <c r="I635" t="s">
        <v>1000</v>
      </c>
      <c r="J635">
        <f>Table1[[#This Row],[Quantity]]*Table1[[#This Row],[Price]]*(1-Table1[[#This Row],[Discount]])</f>
        <v>1425</v>
      </c>
      <c r="K635">
        <f>VALUE(SUBSTITUTE(Table1[[#This Row],[Discount]],"%",""))/100</f>
        <v>0.05</v>
      </c>
    </row>
    <row r="636" spans="1:11" x14ac:dyDescent="0.35">
      <c r="A636">
        <v>1634</v>
      </c>
      <c r="B636" s="1">
        <v>45623</v>
      </c>
      <c r="C636" t="s">
        <v>625</v>
      </c>
      <c r="D636" t="s">
        <v>981</v>
      </c>
      <c r="E636" t="s">
        <v>990</v>
      </c>
      <c r="F636" t="s">
        <v>998</v>
      </c>
      <c r="G636">
        <v>9</v>
      </c>
      <c r="H636">
        <v>1500</v>
      </c>
      <c r="I636" t="s">
        <v>1002</v>
      </c>
      <c r="J636">
        <f>Table1[[#This Row],[Quantity]]*Table1[[#This Row],[Price]]*(1-Table1[[#This Row],[Discount]])</f>
        <v>10800</v>
      </c>
      <c r="K636">
        <f>VALUE(SUBSTITUTE(Table1[[#This Row],[Discount]],"%",""))/100</f>
        <v>0.2</v>
      </c>
    </row>
    <row r="637" spans="1:11" x14ac:dyDescent="0.35">
      <c r="A637">
        <v>1635</v>
      </c>
      <c r="B637" s="1">
        <v>45786</v>
      </c>
      <c r="C637" t="s">
        <v>626</v>
      </c>
      <c r="D637" t="s">
        <v>981</v>
      </c>
      <c r="E637" t="s">
        <v>983</v>
      </c>
      <c r="F637" t="s">
        <v>997</v>
      </c>
      <c r="G637">
        <v>3</v>
      </c>
      <c r="H637">
        <v>250</v>
      </c>
      <c r="I637" t="s">
        <v>1004</v>
      </c>
      <c r="J637">
        <f>Table1[[#This Row],[Quantity]]*Table1[[#This Row],[Price]]*(1-Table1[[#This Row],[Discount]])</f>
        <v>675</v>
      </c>
      <c r="K637">
        <f>VALUE(SUBSTITUTE(Table1[[#This Row],[Discount]],"%",""))/100</f>
        <v>0.1</v>
      </c>
    </row>
    <row r="638" spans="1:11" x14ac:dyDescent="0.35">
      <c r="A638">
        <v>1636</v>
      </c>
      <c r="B638" s="1">
        <v>45595</v>
      </c>
      <c r="C638" t="s">
        <v>627</v>
      </c>
      <c r="D638" t="s">
        <v>979</v>
      </c>
      <c r="E638" t="s">
        <v>982</v>
      </c>
      <c r="F638" t="s">
        <v>997</v>
      </c>
      <c r="G638">
        <v>2</v>
      </c>
      <c r="H638">
        <v>2500</v>
      </c>
      <c r="I638" t="s">
        <v>1001</v>
      </c>
      <c r="J638">
        <f>Table1[[#This Row],[Quantity]]*Table1[[#This Row],[Price]]*(1-Table1[[#This Row],[Discount]])</f>
        <v>5000</v>
      </c>
      <c r="K638">
        <f>VALUE(SUBSTITUTE(Table1[[#This Row],[Discount]],"%",""))/100</f>
        <v>0</v>
      </c>
    </row>
    <row r="639" spans="1:11" x14ac:dyDescent="0.35">
      <c r="A639">
        <v>1637</v>
      </c>
      <c r="B639" s="1">
        <v>45642</v>
      </c>
      <c r="C639" t="s">
        <v>628</v>
      </c>
      <c r="D639" t="s">
        <v>981</v>
      </c>
      <c r="E639" t="s">
        <v>994</v>
      </c>
      <c r="F639" t="s">
        <v>997</v>
      </c>
      <c r="G639">
        <v>10</v>
      </c>
      <c r="H639">
        <v>1500</v>
      </c>
      <c r="I639" t="s">
        <v>1004</v>
      </c>
      <c r="J639">
        <f>Table1[[#This Row],[Quantity]]*Table1[[#This Row],[Price]]*(1-Table1[[#This Row],[Discount]])</f>
        <v>13500</v>
      </c>
      <c r="K639">
        <f>VALUE(SUBSTITUTE(Table1[[#This Row],[Discount]],"%",""))/100</f>
        <v>0.1</v>
      </c>
    </row>
    <row r="640" spans="1:11" x14ac:dyDescent="0.35">
      <c r="A640">
        <v>1638</v>
      </c>
      <c r="B640" s="1">
        <v>45712</v>
      </c>
      <c r="C640" t="s">
        <v>629</v>
      </c>
      <c r="D640" t="s">
        <v>980</v>
      </c>
      <c r="E640" t="s">
        <v>982</v>
      </c>
      <c r="F640" t="s">
        <v>997</v>
      </c>
      <c r="G640">
        <v>8</v>
      </c>
      <c r="H640">
        <v>300</v>
      </c>
      <c r="I640" t="s">
        <v>1001</v>
      </c>
      <c r="J640">
        <f>Table1[[#This Row],[Quantity]]*Table1[[#This Row],[Price]]*(1-Table1[[#This Row],[Discount]])</f>
        <v>2400</v>
      </c>
      <c r="K640">
        <f>VALUE(SUBSTITUTE(Table1[[#This Row],[Discount]],"%",""))/100</f>
        <v>0</v>
      </c>
    </row>
    <row r="641" spans="1:11" x14ac:dyDescent="0.35">
      <c r="A641">
        <v>1639</v>
      </c>
      <c r="B641" s="1">
        <v>45783</v>
      </c>
      <c r="C641" t="s">
        <v>630</v>
      </c>
      <c r="D641" t="s">
        <v>981</v>
      </c>
      <c r="E641" t="s">
        <v>996</v>
      </c>
      <c r="F641" t="s">
        <v>999</v>
      </c>
      <c r="G641">
        <v>4</v>
      </c>
      <c r="H641">
        <v>500</v>
      </c>
      <c r="I641" t="s">
        <v>1000</v>
      </c>
      <c r="J641">
        <f>Table1[[#This Row],[Quantity]]*Table1[[#This Row],[Price]]*(1-Table1[[#This Row],[Discount]])</f>
        <v>1900</v>
      </c>
      <c r="K641">
        <f>VALUE(SUBSTITUTE(Table1[[#This Row],[Discount]],"%",""))/100</f>
        <v>0.05</v>
      </c>
    </row>
    <row r="642" spans="1:11" x14ac:dyDescent="0.35">
      <c r="A642">
        <v>1640</v>
      </c>
      <c r="B642" s="1">
        <v>45614</v>
      </c>
      <c r="C642" t="s">
        <v>631</v>
      </c>
      <c r="D642" t="s">
        <v>979</v>
      </c>
      <c r="E642" t="s">
        <v>986</v>
      </c>
      <c r="F642" t="s">
        <v>997</v>
      </c>
      <c r="G642">
        <v>6</v>
      </c>
      <c r="H642">
        <v>4500</v>
      </c>
      <c r="I642" t="s">
        <v>1003</v>
      </c>
      <c r="J642">
        <f>Table1[[#This Row],[Quantity]]*Table1[[#This Row],[Price]]*(1-Table1[[#This Row],[Discount]])</f>
        <v>22950</v>
      </c>
      <c r="K642">
        <f>VALUE(SUBSTITUTE(Table1[[#This Row],[Discount]],"%",""))/100</f>
        <v>0.15</v>
      </c>
    </row>
    <row r="643" spans="1:11" x14ac:dyDescent="0.35">
      <c r="A643">
        <v>1641</v>
      </c>
      <c r="B643" s="1">
        <v>45809</v>
      </c>
      <c r="C643" t="s">
        <v>632</v>
      </c>
      <c r="D643" t="s">
        <v>979</v>
      </c>
      <c r="E643" t="s">
        <v>985</v>
      </c>
      <c r="F643" t="s">
        <v>998</v>
      </c>
      <c r="G643">
        <v>6</v>
      </c>
      <c r="H643">
        <v>300</v>
      </c>
      <c r="I643" t="s">
        <v>1002</v>
      </c>
      <c r="J643">
        <f>Table1[[#This Row],[Quantity]]*Table1[[#This Row],[Price]]*(1-Table1[[#This Row],[Discount]])</f>
        <v>1440</v>
      </c>
      <c r="K643">
        <f>VALUE(SUBSTITUTE(Table1[[#This Row],[Discount]],"%",""))/100</f>
        <v>0.2</v>
      </c>
    </row>
    <row r="644" spans="1:11" x14ac:dyDescent="0.35">
      <c r="A644">
        <v>1642</v>
      </c>
      <c r="B644" s="1">
        <v>45594</v>
      </c>
      <c r="C644" t="s">
        <v>633</v>
      </c>
      <c r="D644" t="s">
        <v>980</v>
      </c>
      <c r="E644" t="s">
        <v>982</v>
      </c>
      <c r="F644" t="s">
        <v>997</v>
      </c>
      <c r="G644">
        <v>5</v>
      </c>
      <c r="H644">
        <v>4500</v>
      </c>
      <c r="I644" t="s">
        <v>1003</v>
      </c>
      <c r="J644">
        <f>Table1[[#This Row],[Quantity]]*Table1[[#This Row],[Price]]*(1-Table1[[#This Row],[Discount]])</f>
        <v>19125</v>
      </c>
      <c r="K644">
        <f>VALUE(SUBSTITUTE(Table1[[#This Row],[Discount]],"%",""))/100</f>
        <v>0.15</v>
      </c>
    </row>
    <row r="645" spans="1:11" x14ac:dyDescent="0.35">
      <c r="A645">
        <v>1643</v>
      </c>
      <c r="B645" s="1">
        <v>45647</v>
      </c>
      <c r="C645" t="s">
        <v>634</v>
      </c>
      <c r="D645" t="s">
        <v>980</v>
      </c>
      <c r="E645" t="s">
        <v>996</v>
      </c>
      <c r="F645" t="s">
        <v>999</v>
      </c>
      <c r="G645">
        <v>2</v>
      </c>
      <c r="H645">
        <v>1500</v>
      </c>
      <c r="I645" t="s">
        <v>1000</v>
      </c>
      <c r="J645">
        <f>Table1[[#This Row],[Quantity]]*Table1[[#This Row],[Price]]*(1-Table1[[#This Row],[Discount]])</f>
        <v>2850</v>
      </c>
      <c r="K645">
        <f>VALUE(SUBSTITUTE(Table1[[#This Row],[Discount]],"%",""))/100</f>
        <v>0.05</v>
      </c>
    </row>
    <row r="646" spans="1:11" x14ac:dyDescent="0.35">
      <c r="A646">
        <v>1644</v>
      </c>
      <c r="B646" s="1">
        <v>45656</v>
      </c>
      <c r="C646" t="s">
        <v>635</v>
      </c>
      <c r="D646" t="s">
        <v>980</v>
      </c>
      <c r="E646" t="s">
        <v>983</v>
      </c>
      <c r="F646" t="s">
        <v>997</v>
      </c>
      <c r="G646">
        <v>3</v>
      </c>
      <c r="H646">
        <v>250</v>
      </c>
      <c r="I646" t="s">
        <v>1002</v>
      </c>
      <c r="J646">
        <f>Table1[[#This Row],[Quantity]]*Table1[[#This Row],[Price]]*(1-Table1[[#This Row],[Discount]])</f>
        <v>600</v>
      </c>
      <c r="K646">
        <f>VALUE(SUBSTITUTE(Table1[[#This Row],[Discount]],"%",""))/100</f>
        <v>0.2</v>
      </c>
    </row>
    <row r="647" spans="1:11" x14ac:dyDescent="0.35">
      <c r="A647">
        <v>1645</v>
      </c>
      <c r="B647" s="1">
        <v>45663</v>
      </c>
      <c r="C647" t="s">
        <v>636</v>
      </c>
      <c r="D647" t="s">
        <v>979</v>
      </c>
      <c r="E647" t="s">
        <v>984</v>
      </c>
      <c r="F647" t="s">
        <v>998</v>
      </c>
      <c r="G647">
        <v>3</v>
      </c>
      <c r="H647">
        <v>1000</v>
      </c>
      <c r="I647" t="s">
        <v>1003</v>
      </c>
      <c r="J647">
        <f>Table1[[#This Row],[Quantity]]*Table1[[#This Row],[Price]]*(1-Table1[[#This Row],[Discount]])</f>
        <v>2550</v>
      </c>
      <c r="K647">
        <f>VALUE(SUBSTITUTE(Table1[[#This Row],[Discount]],"%",""))/100</f>
        <v>0.15</v>
      </c>
    </row>
    <row r="648" spans="1:11" x14ac:dyDescent="0.35">
      <c r="A648">
        <v>1646</v>
      </c>
      <c r="B648" s="1">
        <v>45848</v>
      </c>
      <c r="C648" t="s">
        <v>637</v>
      </c>
      <c r="D648" t="s">
        <v>978</v>
      </c>
      <c r="E648" t="s">
        <v>993</v>
      </c>
      <c r="F648" t="s">
        <v>999</v>
      </c>
      <c r="G648">
        <v>8</v>
      </c>
      <c r="H648">
        <v>100</v>
      </c>
      <c r="I648" t="s">
        <v>1001</v>
      </c>
      <c r="J648">
        <f>Table1[[#This Row],[Quantity]]*Table1[[#This Row],[Price]]*(1-Table1[[#This Row],[Discount]])</f>
        <v>800</v>
      </c>
      <c r="K648">
        <f>VALUE(SUBSTITUTE(Table1[[#This Row],[Discount]],"%",""))/100</f>
        <v>0</v>
      </c>
    </row>
    <row r="649" spans="1:11" x14ac:dyDescent="0.35">
      <c r="A649">
        <v>1647</v>
      </c>
      <c r="B649" s="1">
        <v>45543</v>
      </c>
      <c r="C649" t="s">
        <v>638</v>
      </c>
      <c r="D649" t="s">
        <v>981</v>
      </c>
      <c r="E649" t="s">
        <v>982</v>
      </c>
      <c r="F649" t="s">
        <v>997</v>
      </c>
      <c r="G649">
        <v>3</v>
      </c>
      <c r="H649">
        <v>300</v>
      </c>
      <c r="I649" t="s">
        <v>1003</v>
      </c>
      <c r="J649">
        <f>Table1[[#This Row],[Quantity]]*Table1[[#This Row],[Price]]*(1-Table1[[#This Row],[Discount]])</f>
        <v>765</v>
      </c>
      <c r="K649">
        <f>VALUE(SUBSTITUTE(Table1[[#This Row],[Discount]],"%",""))/100</f>
        <v>0.15</v>
      </c>
    </row>
    <row r="650" spans="1:11" x14ac:dyDescent="0.35">
      <c r="A650">
        <v>1648</v>
      </c>
      <c r="B650" s="1">
        <v>45752</v>
      </c>
      <c r="C650" t="s">
        <v>639</v>
      </c>
      <c r="D650" t="s">
        <v>981</v>
      </c>
      <c r="E650" t="s">
        <v>986</v>
      </c>
      <c r="F650" t="s">
        <v>997</v>
      </c>
      <c r="G650">
        <v>5</v>
      </c>
      <c r="H650">
        <v>1000</v>
      </c>
      <c r="I650" t="s">
        <v>1003</v>
      </c>
      <c r="J650">
        <f>Table1[[#This Row],[Quantity]]*Table1[[#This Row],[Price]]*(1-Table1[[#This Row],[Discount]])</f>
        <v>4250</v>
      </c>
      <c r="K650">
        <f>VALUE(SUBSTITUTE(Table1[[#This Row],[Discount]],"%",""))/100</f>
        <v>0.15</v>
      </c>
    </row>
    <row r="651" spans="1:11" x14ac:dyDescent="0.35">
      <c r="A651">
        <v>1649</v>
      </c>
      <c r="B651" s="1">
        <v>45752</v>
      </c>
      <c r="C651" t="s">
        <v>640</v>
      </c>
      <c r="D651" t="s">
        <v>981</v>
      </c>
      <c r="E651" t="s">
        <v>994</v>
      </c>
      <c r="F651" t="s">
        <v>997</v>
      </c>
      <c r="G651">
        <v>3</v>
      </c>
      <c r="H651">
        <v>1354.67</v>
      </c>
      <c r="I651" t="s">
        <v>1001</v>
      </c>
      <c r="J651">
        <f>Table1[[#This Row],[Quantity]]*Table1[[#This Row],[Price]]*(1-Table1[[#This Row],[Discount]])</f>
        <v>4064.01</v>
      </c>
      <c r="K651">
        <f>VALUE(SUBSTITUTE(Table1[[#This Row],[Discount]],"%",""))/100</f>
        <v>0</v>
      </c>
    </row>
    <row r="652" spans="1:11" x14ac:dyDescent="0.35">
      <c r="A652">
        <v>1650</v>
      </c>
      <c r="B652" s="1">
        <v>45668</v>
      </c>
      <c r="C652" t="s">
        <v>641</v>
      </c>
      <c r="D652" t="s">
        <v>978</v>
      </c>
      <c r="E652" t="s">
        <v>986</v>
      </c>
      <c r="F652" t="s">
        <v>997</v>
      </c>
      <c r="G652">
        <v>2</v>
      </c>
      <c r="H652">
        <v>1000</v>
      </c>
      <c r="I652" t="s">
        <v>1001</v>
      </c>
      <c r="J652">
        <f>Table1[[#This Row],[Quantity]]*Table1[[#This Row],[Price]]*(1-Table1[[#This Row],[Discount]])</f>
        <v>2000</v>
      </c>
      <c r="K652">
        <f>VALUE(SUBSTITUTE(Table1[[#This Row],[Discount]],"%",""))/100</f>
        <v>0</v>
      </c>
    </row>
    <row r="653" spans="1:11" x14ac:dyDescent="0.35">
      <c r="A653">
        <v>1651</v>
      </c>
      <c r="B653" s="1">
        <v>45791</v>
      </c>
      <c r="C653" t="s">
        <v>642</v>
      </c>
      <c r="D653" t="s">
        <v>978</v>
      </c>
      <c r="E653" t="s">
        <v>994</v>
      </c>
      <c r="F653" t="s">
        <v>997</v>
      </c>
      <c r="G653">
        <v>7</v>
      </c>
      <c r="H653">
        <v>2500</v>
      </c>
      <c r="I653" t="s">
        <v>1003</v>
      </c>
      <c r="J653">
        <f>Table1[[#This Row],[Quantity]]*Table1[[#This Row],[Price]]*(1-Table1[[#This Row],[Discount]])</f>
        <v>14875</v>
      </c>
      <c r="K653">
        <f>VALUE(SUBSTITUTE(Table1[[#This Row],[Discount]],"%",""))/100</f>
        <v>0.15</v>
      </c>
    </row>
    <row r="654" spans="1:11" x14ac:dyDescent="0.35">
      <c r="A654">
        <v>1652</v>
      </c>
      <c r="B654" s="1">
        <v>45674</v>
      </c>
      <c r="C654" t="s">
        <v>643</v>
      </c>
      <c r="D654" t="s">
        <v>978</v>
      </c>
      <c r="E654" t="s">
        <v>993</v>
      </c>
      <c r="F654" t="s">
        <v>999</v>
      </c>
      <c r="G654">
        <v>7</v>
      </c>
      <c r="H654">
        <v>300</v>
      </c>
      <c r="I654" t="s">
        <v>1004</v>
      </c>
      <c r="J654">
        <f>Table1[[#This Row],[Quantity]]*Table1[[#This Row],[Price]]*(1-Table1[[#This Row],[Discount]])</f>
        <v>1890</v>
      </c>
      <c r="K654">
        <f>VALUE(SUBSTITUTE(Table1[[#This Row],[Discount]],"%",""))/100</f>
        <v>0.1</v>
      </c>
    </row>
    <row r="655" spans="1:11" x14ac:dyDescent="0.35">
      <c r="A655">
        <v>1653</v>
      </c>
      <c r="B655" s="1">
        <v>45769</v>
      </c>
      <c r="C655" t="s">
        <v>644</v>
      </c>
      <c r="D655" t="s">
        <v>978</v>
      </c>
      <c r="E655" t="s">
        <v>994</v>
      </c>
      <c r="F655" t="s">
        <v>997</v>
      </c>
      <c r="G655">
        <v>7</v>
      </c>
      <c r="H655">
        <v>300</v>
      </c>
      <c r="I655" t="s">
        <v>1001</v>
      </c>
      <c r="J655">
        <f>Table1[[#This Row],[Quantity]]*Table1[[#This Row],[Price]]*(1-Table1[[#This Row],[Discount]])</f>
        <v>2100</v>
      </c>
      <c r="K655">
        <f>VALUE(SUBSTITUTE(Table1[[#This Row],[Discount]],"%",""))/100</f>
        <v>0</v>
      </c>
    </row>
    <row r="656" spans="1:11" x14ac:dyDescent="0.35">
      <c r="A656">
        <v>1654</v>
      </c>
      <c r="B656" s="1">
        <v>45541</v>
      </c>
      <c r="C656" t="s">
        <v>645</v>
      </c>
      <c r="D656" t="s">
        <v>980</v>
      </c>
      <c r="E656" t="s">
        <v>995</v>
      </c>
      <c r="F656" t="s">
        <v>997</v>
      </c>
      <c r="G656">
        <v>7</v>
      </c>
      <c r="H656">
        <v>300</v>
      </c>
      <c r="I656" t="s">
        <v>1003</v>
      </c>
      <c r="J656">
        <f>Table1[[#This Row],[Quantity]]*Table1[[#This Row],[Price]]*(1-Table1[[#This Row],[Discount]])</f>
        <v>1785</v>
      </c>
      <c r="K656">
        <f>VALUE(SUBSTITUTE(Table1[[#This Row],[Discount]],"%",""))/100</f>
        <v>0.15</v>
      </c>
    </row>
    <row r="657" spans="1:11" x14ac:dyDescent="0.35">
      <c r="A657">
        <v>1655</v>
      </c>
      <c r="B657" s="1">
        <v>45823</v>
      </c>
      <c r="C657" t="s">
        <v>646</v>
      </c>
      <c r="D657" t="s">
        <v>980</v>
      </c>
      <c r="E657" t="s">
        <v>984</v>
      </c>
      <c r="F657" t="s">
        <v>998</v>
      </c>
      <c r="G657">
        <v>10</v>
      </c>
      <c r="H657">
        <v>100</v>
      </c>
      <c r="I657" t="s">
        <v>1002</v>
      </c>
      <c r="J657">
        <f>Table1[[#This Row],[Quantity]]*Table1[[#This Row],[Price]]*(1-Table1[[#This Row],[Discount]])</f>
        <v>800</v>
      </c>
      <c r="K657">
        <f>VALUE(SUBSTITUTE(Table1[[#This Row],[Discount]],"%",""))/100</f>
        <v>0.2</v>
      </c>
    </row>
    <row r="658" spans="1:11" x14ac:dyDescent="0.35">
      <c r="A658">
        <v>1656</v>
      </c>
      <c r="B658" s="1">
        <v>45677</v>
      </c>
      <c r="C658" t="s">
        <v>647</v>
      </c>
      <c r="D658" t="s">
        <v>979</v>
      </c>
      <c r="E658" t="s">
        <v>989</v>
      </c>
      <c r="F658" t="s">
        <v>999</v>
      </c>
      <c r="G658">
        <v>10</v>
      </c>
      <c r="H658">
        <v>1500</v>
      </c>
      <c r="I658" t="s">
        <v>1001</v>
      </c>
      <c r="J658">
        <f>Table1[[#This Row],[Quantity]]*Table1[[#This Row],[Price]]*(1-Table1[[#This Row],[Discount]])</f>
        <v>15000</v>
      </c>
      <c r="K658">
        <f>VALUE(SUBSTITUTE(Table1[[#This Row],[Discount]],"%",""))/100</f>
        <v>0</v>
      </c>
    </row>
    <row r="659" spans="1:11" x14ac:dyDescent="0.35">
      <c r="A659">
        <v>1657</v>
      </c>
      <c r="B659" s="1">
        <v>45538</v>
      </c>
      <c r="C659" t="s">
        <v>648</v>
      </c>
      <c r="D659" t="s">
        <v>979</v>
      </c>
      <c r="E659" t="s">
        <v>987</v>
      </c>
      <c r="F659" t="s">
        <v>999</v>
      </c>
      <c r="G659">
        <v>3</v>
      </c>
      <c r="H659">
        <v>1000</v>
      </c>
      <c r="I659" t="s">
        <v>1003</v>
      </c>
      <c r="J659">
        <f>Table1[[#This Row],[Quantity]]*Table1[[#This Row],[Price]]*(1-Table1[[#This Row],[Discount]])</f>
        <v>2550</v>
      </c>
      <c r="K659">
        <f>VALUE(SUBSTITUTE(Table1[[#This Row],[Discount]],"%",""))/100</f>
        <v>0.15</v>
      </c>
    </row>
    <row r="660" spans="1:11" x14ac:dyDescent="0.35">
      <c r="A660">
        <v>1658</v>
      </c>
      <c r="B660" s="1">
        <v>45617</v>
      </c>
      <c r="C660" t="s">
        <v>649</v>
      </c>
      <c r="D660" t="s">
        <v>979</v>
      </c>
      <c r="E660" t="s">
        <v>982</v>
      </c>
      <c r="F660" t="s">
        <v>997</v>
      </c>
      <c r="G660">
        <v>9</v>
      </c>
      <c r="H660">
        <v>1000</v>
      </c>
      <c r="I660" t="s">
        <v>1002</v>
      </c>
      <c r="J660">
        <f>Table1[[#This Row],[Quantity]]*Table1[[#This Row],[Price]]*(1-Table1[[#This Row],[Discount]])</f>
        <v>7200</v>
      </c>
      <c r="K660">
        <f>VALUE(SUBSTITUTE(Table1[[#This Row],[Discount]],"%",""))/100</f>
        <v>0.2</v>
      </c>
    </row>
    <row r="661" spans="1:11" x14ac:dyDescent="0.35">
      <c r="A661">
        <v>1659</v>
      </c>
      <c r="B661" s="1">
        <v>45634</v>
      </c>
      <c r="C661" t="s">
        <v>650</v>
      </c>
      <c r="D661" t="s">
        <v>981</v>
      </c>
      <c r="E661" t="s">
        <v>989</v>
      </c>
      <c r="F661" t="s">
        <v>999</v>
      </c>
      <c r="G661">
        <v>8</v>
      </c>
      <c r="H661">
        <v>1500</v>
      </c>
      <c r="I661" t="s">
        <v>1003</v>
      </c>
      <c r="J661">
        <f>Table1[[#This Row],[Quantity]]*Table1[[#This Row],[Price]]*(1-Table1[[#This Row],[Discount]])</f>
        <v>10200</v>
      </c>
      <c r="K661">
        <f>VALUE(SUBSTITUTE(Table1[[#This Row],[Discount]],"%",""))/100</f>
        <v>0.15</v>
      </c>
    </row>
    <row r="662" spans="1:11" x14ac:dyDescent="0.35">
      <c r="A662">
        <v>1660</v>
      </c>
      <c r="B662" s="1">
        <v>45788</v>
      </c>
      <c r="C662" t="s">
        <v>651</v>
      </c>
      <c r="D662" t="s">
        <v>980</v>
      </c>
      <c r="E662" t="s">
        <v>991</v>
      </c>
      <c r="F662" t="s">
        <v>998</v>
      </c>
      <c r="G662">
        <v>5</v>
      </c>
      <c r="H662">
        <v>1000</v>
      </c>
      <c r="I662" t="s">
        <v>1001</v>
      </c>
      <c r="J662">
        <f>Table1[[#This Row],[Quantity]]*Table1[[#This Row],[Price]]*(1-Table1[[#This Row],[Discount]])</f>
        <v>5000</v>
      </c>
      <c r="K662">
        <f>VALUE(SUBSTITUTE(Table1[[#This Row],[Discount]],"%",""))/100</f>
        <v>0</v>
      </c>
    </row>
    <row r="663" spans="1:11" x14ac:dyDescent="0.35">
      <c r="A663">
        <v>1661</v>
      </c>
      <c r="B663" s="1">
        <v>45718</v>
      </c>
      <c r="C663" t="s">
        <v>652</v>
      </c>
      <c r="D663" t="s">
        <v>979</v>
      </c>
      <c r="E663" t="s">
        <v>989</v>
      </c>
      <c r="F663" t="s">
        <v>999</v>
      </c>
      <c r="G663">
        <v>1</v>
      </c>
      <c r="H663">
        <v>1000</v>
      </c>
      <c r="I663" t="s">
        <v>1003</v>
      </c>
      <c r="J663">
        <f>Table1[[#This Row],[Quantity]]*Table1[[#This Row],[Price]]*(1-Table1[[#This Row],[Discount]])</f>
        <v>850</v>
      </c>
      <c r="K663">
        <f>VALUE(SUBSTITUTE(Table1[[#This Row],[Discount]],"%",""))/100</f>
        <v>0.15</v>
      </c>
    </row>
    <row r="664" spans="1:11" x14ac:dyDescent="0.35">
      <c r="A664">
        <v>1662</v>
      </c>
      <c r="B664" s="1">
        <v>45745</v>
      </c>
      <c r="C664" t="s">
        <v>653</v>
      </c>
      <c r="E664" t="s">
        <v>988</v>
      </c>
      <c r="F664" t="s">
        <v>999</v>
      </c>
      <c r="G664">
        <v>10</v>
      </c>
      <c r="H664">
        <v>1000</v>
      </c>
      <c r="I664" t="s">
        <v>1004</v>
      </c>
      <c r="J664">
        <f>Table1[[#This Row],[Quantity]]*Table1[[#This Row],[Price]]*(1-Table1[[#This Row],[Discount]])</f>
        <v>9000</v>
      </c>
      <c r="K664">
        <f>VALUE(SUBSTITUTE(Table1[[#This Row],[Discount]],"%",""))/100</f>
        <v>0.1</v>
      </c>
    </row>
    <row r="665" spans="1:11" x14ac:dyDescent="0.35">
      <c r="A665">
        <v>1663</v>
      </c>
      <c r="B665" s="1">
        <v>45512</v>
      </c>
      <c r="C665" t="s">
        <v>654</v>
      </c>
      <c r="D665" t="s">
        <v>981</v>
      </c>
      <c r="E665" t="s">
        <v>983</v>
      </c>
      <c r="F665" t="s">
        <v>997</v>
      </c>
      <c r="G665">
        <v>8</v>
      </c>
      <c r="H665">
        <v>1500</v>
      </c>
      <c r="I665" t="s">
        <v>1000</v>
      </c>
      <c r="J665">
        <f>Table1[[#This Row],[Quantity]]*Table1[[#This Row],[Price]]*(1-Table1[[#This Row],[Discount]])</f>
        <v>11400</v>
      </c>
      <c r="K665">
        <f>VALUE(SUBSTITUTE(Table1[[#This Row],[Discount]],"%",""))/100</f>
        <v>0.05</v>
      </c>
    </row>
    <row r="666" spans="1:11" x14ac:dyDescent="0.35">
      <c r="A666">
        <v>1664</v>
      </c>
      <c r="B666" s="1">
        <v>45667</v>
      </c>
      <c r="C666" t="s">
        <v>655</v>
      </c>
      <c r="D666" t="s">
        <v>978</v>
      </c>
      <c r="E666" t="s">
        <v>982</v>
      </c>
      <c r="F666" t="s">
        <v>997</v>
      </c>
      <c r="G666">
        <v>6</v>
      </c>
      <c r="H666">
        <v>250</v>
      </c>
      <c r="I666" t="s">
        <v>1000</v>
      </c>
      <c r="J666">
        <f>Table1[[#This Row],[Quantity]]*Table1[[#This Row],[Price]]*(1-Table1[[#This Row],[Discount]])</f>
        <v>1425</v>
      </c>
      <c r="K666">
        <f>VALUE(SUBSTITUTE(Table1[[#This Row],[Discount]],"%",""))/100</f>
        <v>0.05</v>
      </c>
    </row>
    <row r="667" spans="1:11" x14ac:dyDescent="0.35">
      <c r="A667">
        <v>1665</v>
      </c>
      <c r="B667" s="1">
        <v>45793</v>
      </c>
      <c r="C667" t="s">
        <v>656</v>
      </c>
      <c r="D667" t="s">
        <v>981</v>
      </c>
      <c r="E667" t="s">
        <v>988</v>
      </c>
      <c r="F667" t="s">
        <v>999</v>
      </c>
      <c r="G667">
        <v>8</v>
      </c>
      <c r="H667">
        <v>300</v>
      </c>
      <c r="I667" t="s">
        <v>1000</v>
      </c>
      <c r="J667">
        <f>Table1[[#This Row],[Quantity]]*Table1[[#This Row],[Price]]*(1-Table1[[#This Row],[Discount]])</f>
        <v>2280</v>
      </c>
      <c r="K667">
        <f>VALUE(SUBSTITUTE(Table1[[#This Row],[Discount]],"%",""))/100</f>
        <v>0.05</v>
      </c>
    </row>
    <row r="668" spans="1:11" x14ac:dyDescent="0.35">
      <c r="A668">
        <v>1666</v>
      </c>
      <c r="B668" s="1">
        <v>45811</v>
      </c>
      <c r="C668" t="s">
        <v>657</v>
      </c>
      <c r="D668" t="s">
        <v>981</v>
      </c>
      <c r="E668" t="s">
        <v>990</v>
      </c>
      <c r="F668" t="s">
        <v>998</v>
      </c>
      <c r="G668">
        <v>8</v>
      </c>
      <c r="H668">
        <v>2500</v>
      </c>
      <c r="I668" t="s">
        <v>1003</v>
      </c>
      <c r="J668">
        <f>Table1[[#This Row],[Quantity]]*Table1[[#This Row],[Price]]*(1-Table1[[#This Row],[Discount]])</f>
        <v>17000</v>
      </c>
      <c r="K668">
        <f>VALUE(SUBSTITUTE(Table1[[#This Row],[Discount]],"%",""))/100</f>
        <v>0.15</v>
      </c>
    </row>
    <row r="669" spans="1:11" x14ac:dyDescent="0.35">
      <c r="A669">
        <v>1667</v>
      </c>
      <c r="B669" s="1">
        <v>45678</v>
      </c>
      <c r="C669" t="s">
        <v>658</v>
      </c>
      <c r="D669" t="s">
        <v>978</v>
      </c>
      <c r="E669" t="s">
        <v>984</v>
      </c>
      <c r="F669" t="s">
        <v>998</v>
      </c>
      <c r="G669">
        <v>7</v>
      </c>
      <c r="H669">
        <v>4500</v>
      </c>
      <c r="I669" t="s">
        <v>1004</v>
      </c>
      <c r="J669">
        <f>Table1[[#This Row],[Quantity]]*Table1[[#This Row],[Price]]*(1-Table1[[#This Row],[Discount]])</f>
        <v>28350</v>
      </c>
      <c r="K669">
        <f>VALUE(SUBSTITUTE(Table1[[#This Row],[Discount]],"%",""))/100</f>
        <v>0.1</v>
      </c>
    </row>
    <row r="670" spans="1:11" x14ac:dyDescent="0.35">
      <c r="A670">
        <v>1668</v>
      </c>
      <c r="B670" s="1">
        <v>45749</v>
      </c>
      <c r="C670" t="s">
        <v>659</v>
      </c>
      <c r="D670" t="s">
        <v>981</v>
      </c>
      <c r="E670" t="s">
        <v>996</v>
      </c>
      <c r="F670" t="s">
        <v>999</v>
      </c>
      <c r="G670">
        <v>6</v>
      </c>
      <c r="H670">
        <v>100</v>
      </c>
      <c r="I670" t="s">
        <v>1001</v>
      </c>
      <c r="J670">
        <f>Table1[[#This Row],[Quantity]]*Table1[[#This Row],[Price]]*(1-Table1[[#This Row],[Discount]])</f>
        <v>600</v>
      </c>
      <c r="K670">
        <f>VALUE(SUBSTITUTE(Table1[[#This Row],[Discount]],"%",""))/100</f>
        <v>0</v>
      </c>
    </row>
    <row r="671" spans="1:11" x14ac:dyDescent="0.35">
      <c r="A671">
        <v>1669</v>
      </c>
      <c r="B671" s="1">
        <v>45545</v>
      </c>
      <c r="C671" t="s">
        <v>660</v>
      </c>
      <c r="D671" t="s">
        <v>981</v>
      </c>
      <c r="E671" t="s">
        <v>993</v>
      </c>
      <c r="F671" t="s">
        <v>999</v>
      </c>
      <c r="G671">
        <v>5</v>
      </c>
      <c r="H671">
        <v>1000</v>
      </c>
      <c r="I671" t="s">
        <v>1001</v>
      </c>
      <c r="J671">
        <f>Table1[[#This Row],[Quantity]]*Table1[[#This Row],[Price]]*(1-Table1[[#This Row],[Discount]])</f>
        <v>5000</v>
      </c>
      <c r="K671">
        <f>VALUE(SUBSTITUTE(Table1[[#This Row],[Discount]],"%",""))/100</f>
        <v>0</v>
      </c>
    </row>
    <row r="672" spans="1:11" x14ac:dyDescent="0.35">
      <c r="A672">
        <v>1670</v>
      </c>
      <c r="B672" s="1">
        <v>45817</v>
      </c>
      <c r="C672" t="s">
        <v>661</v>
      </c>
      <c r="D672" t="s">
        <v>981</v>
      </c>
      <c r="E672" t="s">
        <v>983</v>
      </c>
      <c r="F672" t="s">
        <v>997</v>
      </c>
      <c r="G672">
        <v>10</v>
      </c>
      <c r="H672">
        <v>500</v>
      </c>
      <c r="I672" t="s">
        <v>1002</v>
      </c>
      <c r="J672">
        <f>Table1[[#This Row],[Quantity]]*Table1[[#This Row],[Price]]*(1-Table1[[#This Row],[Discount]])</f>
        <v>4000</v>
      </c>
      <c r="K672">
        <f>VALUE(SUBSTITUTE(Table1[[#This Row],[Discount]],"%",""))/100</f>
        <v>0.2</v>
      </c>
    </row>
    <row r="673" spans="1:11" x14ac:dyDescent="0.35">
      <c r="A673">
        <v>1671</v>
      </c>
      <c r="B673" s="1">
        <v>45730</v>
      </c>
      <c r="C673" t="s">
        <v>662</v>
      </c>
      <c r="D673" t="s">
        <v>979</v>
      </c>
      <c r="E673" t="s">
        <v>992</v>
      </c>
      <c r="F673" t="s">
        <v>998</v>
      </c>
      <c r="G673">
        <v>2</v>
      </c>
      <c r="H673">
        <v>100</v>
      </c>
      <c r="I673" t="s">
        <v>1003</v>
      </c>
      <c r="J673">
        <f>Table1[[#This Row],[Quantity]]*Table1[[#This Row],[Price]]*(1-Table1[[#This Row],[Discount]])</f>
        <v>170</v>
      </c>
      <c r="K673">
        <f>VALUE(SUBSTITUTE(Table1[[#This Row],[Discount]],"%",""))/100</f>
        <v>0.15</v>
      </c>
    </row>
    <row r="674" spans="1:11" x14ac:dyDescent="0.35">
      <c r="A674">
        <v>1672</v>
      </c>
      <c r="B674" s="1">
        <v>45619</v>
      </c>
      <c r="C674" t="s">
        <v>663</v>
      </c>
      <c r="D674" t="s">
        <v>979</v>
      </c>
      <c r="E674" t="s">
        <v>986</v>
      </c>
      <c r="F674" t="s">
        <v>997</v>
      </c>
      <c r="G674">
        <v>5</v>
      </c>
      <c r="H674">
        <v>500</v>
      </c>
      <c r="I674" t="s">
        <v>1001</v>
      </c>
      <c r="J674">
        <f>Table1[[#This Row],[Quantity]]*Table1[[#This Row],[Price]]*(1-Table1[[#This Row],[Discount]])</f>
        <v>2500</v>
      </c>
      <c r="K674">
        <f>VALUE(SUBSTITUTE(Table1[[#This Row],[Discount]],"%",""))/100</f>
        <v>0</v>
      </c>
    </row>
    <row r="675" spans="1:11" x14ac:dyDescent="0.35">
      <c r="A675">
        <v>1673</v>
      </c>
      <c r="B675" s="1">
        <v>45651</v>
      </c>
      <c r="C675" t="s">
        <v>664</v>
      </c>
      <c r="D675" t="s">
        <v>978</v>
      </c>
      <c r="E675" t="s">
        <v>991</v>
      </c>
      <c r="F675" t="s">
        <v>998</v>
      </c>
      <c r="G675">
        <v>2</v>
      </c>
      <c r="H675">
        <v>250</v>
      </c>
      <c r="I675" t="s">
        <v>1001</v>
      </c>
      <c r="J675">
        <f>Table1[[#This Row],[Quantity]]*Table1[[#This Row],[Price]]*(1-Table1[[#This Row],[Discount]])</f>
        <v>500</v>
      </c>
      <c r="K675">
        <f>VALUE(SUBSTITUTE(Table1[[#This Row],[Discount]],"%",""))/100</f>
        <v>0</v>
      </c>
    </row>
    <row r="676" spans="1:11" x14ac:dyDescent="0.35">
      <c r="A676">
        <v>1674</v>
      </c>
      <c r="B676" s="1">
        <v>45573</v>
      </c>
      <c r="C676" t="s">
        <v>665</v>
      </c>
      <c r="D676" t="s">
        <v>980</v>
      </c>
      <c r="E676" t="s">
        <v>992</v>
      </c>
      <c r="F676" t="s">
        <v>998</v>
      </c>
      <c r="G676">
        <v>3</v>
      </c>
      <c r="H676">
        <v>1000</v>
      </c>
      <c r="I676" t="s">
        <v>1004</v>
      </c>
      <c r="J676">
        <f>Table1[[#This Row],[Quantity]]*Table1[[#This Row],[Price]]*(1-Table1[[#This Row],[Discount]])</f>
        <v>2700</v>
      </c>
      <c r="K676">
        <f>VALUE(SUBSTITUTE(Table1[[#This Row],[Discount]],"%",""))/100</f>
        <v>0.1</v>
      </c>
    </row>
    <row r="677" spans="1:11" x14ac:dyDescent="0.35">
      <c r="A677">
        <v>1675</v>
      </c>
      <c r="B677" s="1">
        <v>45568</v>
      </c>
      <c r="C677" t="s">
        <v>666</v>
      </c>
      <c r="D677" t="s">
        <v>979</v>
      </c>
      <c r="E677" t="s">
        <v>996</v>
      </c>
      <c r="F677" t="s">
        <v>999</v>
      </c>
      <c r="G677">
        <v>6</v>
      </c>
      <c r="H677">
        <v>1000</v>
      </c>
      <c r="I677" t="s">
        <v>1000</v>
      </c>
      <c r="J677">
        <f>Table1[[#This Row],[Quantity]]*Table1[[#This Row],[Price]]*(1-Table1[[#This Row],[Discount]])</f>
        <v>5700</v>
      </c>
      <c r="K677">
        <f>VALUE(SUBSTITUTE(Table1[[#This Row],[Discount]],"%",""))/100</f>
        <v>0.05</v>
      </c>
    </row>
    <row r="678" spans="1:11" x14ac:dyDescent="0.35">
      <c r="A678">
        <v>1676</v>
      </c>
      <c r="B678" s="1">
        <v>45623</v>
      </c>
      <c r="C678" t="s">
        <v>667</v>
      </c>
      <c r="D678" t="s">
        <v>979</v>
      </c>
      <c r="E678" t="s">
        <v>985</v>
      </c>
      <c r="F678" t="s">
        <v>998</v>
      </c>
      <c r="G678">
        <v>5</v>
      </c>
      <c r="H678">
        <v>300</v>
      </c>
      <c r="I678" t="s">
        <v>1003</v>
      </c>
      <c r="J678">
        <f>Table1[[#This Row],[Quantity]]*Table1[[#This Row],[Price]]*(1-Table1[[#This Row],[Discount]])</f>
        <v>1275</v>
      </c>
      <c r="K678">
        <f>VALUE(SUBSTITUTE(Table1[[#This Row],[Discount]],"%",""))/100</f>
        <v>0.15</v>
      </c>
    </row>
    <row r="679" spans="1:11" x14ac:dyDescent="0.35">
      <c r="A679">
        <v>1677</v>
      </c>
      <c r="B679" s="1">
        <v>45504</v>
      </c>
      <c r="C679" t="s">
        <v>668</v>
      </c>
      <c r="D679" t="s">
        <v>980</v>
      </c>
      <c r="E679" t="s">
        <v>984</v>
      </c>
      <c r="F679" t="s">
        <v>998</v>
      </c>
      <c r="G679">
        <v>2</v>
      </c>
      <c r="H679">
        <v>300</v>
      </c>
      <c r="I679" t="s">
        <v>1002</v>
      </c>
      <c r="J679">
        <f>Table1[[#This Row],[Quantity]]*Table1[[#This Row],[Price]]*(1-Table1[[#This Row],[Discount]])</f>
        <v>480</v>
      </c>
      <c r="K679">
        <f>VALUE(SUBSTITUTE(Table1[[#This Row],[Discount]],"%",""))/100</f>
        <v>0.2</v>
      </c>
    </row>
    <row r="680" spans="1:11" x14ac:dyDescent="0.35">
      <c r="A680">
        <v>1678</v>
      </c>
      <c r="B680" s="1">
        <v>45754</v>
      </c>
      <c r="C680" t="s">
        <v>669</v>
      </c>
      <c r="D680" t="s">
        <v>979</v>
      </c>
      <c r="E680" t="s">
        <v>986</v>
      </c>
      <c r="F680" t="s">
        <v>997</v>
      </c>
      <c r="G680">
        <v>2</v>
      </c>
      <c r="H680">
        <v>100</v>
      </c>
      <c r="I680" t="s">
        <v>1001</v>
      </c>
      <c r="J680">
        <f>Table1[[#This Row],[Quantity]]*Table1[[#This Row],[Price]]*(1-Table1[[#This Row],[Discount]])</f>
        <v>200</v>
      </c>
      <c r="K680">
        <f>VALUE(SUBSTITUTE(Table1[[#This Row],[Discount]],"%",""))/100</f>
        <v>0</v>
      </c>
    </row>
    <row r="681" spans="1:11" x14ac:dyDescent="0.35">
      <c r="A681">
        <v>1679</v>
      </c>
      <c r="B681" s="1">
        <v>45690</v>
      </c>
      <c r="C681" t="s">
        <v>670</v>
      </c>
      <c r="D681" t="s">
        <v>981</v>
      </c>
      <c r="E681" t="s">
        <v>988</v>
      </c>
      <c r="F681" t="s">
        <v>999</v>
      </c>
      <c r="G681">
        <v>1</v>
      </c>
      <c r="H681">
        <v>100</v>
      </c>
      <c r="I681" t="s">
        <v>1003</v>
      </c>
      <c r="J681">
        <f>Table1[[#This Row],[Quantity]]*Table1[[#This Row],[Price]]*(1-Table1[[#This Row],[Discount]])</f>
        <v>85</v>
      </c>
      <c r="K681">
        <f>VALUE(SUBSTITUTE(Table1[[#This Row],[Discount]],"%",""))/100</f>
        <v>0.15</v>
      </c>
    </row>
    <row r="682" spans="1:11" x14ac:dyDescent="0.35">
      <c r="A682">
        <v>1680</v>
      </c>
      <c r="B682" s="1">
        <v>45586</v>
      </c>
      <c r="C682" t="s">
        <v>671</v>
      </c>
      <c r="D682" t="s">
        <v>980</v>
      </c>
      <c r="E682" t="s">
        <v>991</v>
      </c>
      <c r="F682" t="s">
        <v>998</v>
      </c>
      <c r="G682">
        <v>8</v>
      </c>
      <c r="H682">
        <v>4500</v>
      </c>
      <c r="I682" t="s">
        <v>1003</v>
      </c>
      <c r="J682">
        <f>Table1[[#This Row],[Quantity]]*Table1[[#This Row],[Price]]*(1-Table1[[#This Row],[Discount]])</f>
        <v>30600</v>
      </c>
      <c r="K682">
        <f>VALUE(SUBSTITUTE(Table1[[#This Row],[Discount]],"%",""))/100</f>
        <v>0.15</v>
      </c>
    </row>
    <row r="683" spans="1:11" x14ac:dyDescent="0.35">
      <c r="A683">
        <v>1681</v>
      </c>
      <c r="B683" s="1">
        <v>45566</v>
      </c>
      <c r="C683" t="s">
        <v>672</v>
      </c>
      <c r="D683" t="s">
        <v>979</v>
      </c>
      <c r="E683" t="s">
        <v>983</v>
      </c>
      <c r="F683" t="s">
        <v>997</v>
      </c>
      <c r="G683">
        <v>1</v>
      </c>
      <c r="H683">
        <v>2500</v>
      </c>
      <c r="I683" t="s">
        <v>1003</v>
      </c>
      <c r="J683">
        <f>Table1[[#This Row],[Quantity]]*Table1[[#This Row],[Price]]*(1-Table1[[#This Row],[Discount]])</f>
        <v>2125</v>
      </c>
      <c r="K683">
        <f>VALUE(SUBSTITUTE(Table1[[#This Row],[Discount]],"%",""))/100</f>
        <v>0.15</v>
      </c>
    </row>
    <row r="684" spans="1:11" x14ac:dyDescent="0.35">
      <c r="A684">
        <v>1682</v>
      </c>
      <c r="B684" s="1">
        <v>45693</v>
      </c>
      <c r="C684" t="s">
        <v>673</v>
      </c>
      <c r="D684" t="s">
        <v>981</v>
      </c>
      <c r="E684" t="s">
        <v>986</v>
      </c>
      <c r="F684" t="s">
        <v>997</v>
      </c>
      <c r="G684">
        <v>7</v>
      </c>
      <c r="H684">
        <v>100</v>
      </c>
      <c r="I684" t="s">
        <v>1001</v>
      </c>
      <c r="J684">
        <f>Table1[[#This Row],[Quantity]]*Table1[[#This Row],[Price]]*(1-Table1[[#This Row],[Discount]])</f>
        <v>700</v>
      </c>
      <c r="K684">
        <f>VALUE(SUBSTITUTE(Table1[[#This Row],[Discount]],"%",""))/100</f>
        <v>0</v>
      </c>
    </row>
    <row r="685" spans="1:11" x14ac:dyDescent="0.35">
      <c r="A685">
        <v>1683</v>
      </c>
      <c r="B685" s="1">
        <v>45802</v>
      </c>
      <c r="C685" t="s">
        <v>674</v>
      </c>
      <c r="D685" t="s">
        <v>979</v>
      </c>
      <c r="E685" t="s">
        <v>993</v>
      </c>
      <c r="F685" t="s">
        <v>999</v>
      </c>
      <c r="G685">
        <v>4</v>
      </c>
      <c r="H685">
        <v>300</v>
      </c>
      <c r="I685" t="s">
        <v>1002</v>
      </c>
      <c r="J685">
        <f>Table1[[#This Row],[Quantity]]*Table1[[#This Row],[Price]]*(1-Table1[[#This Row],[Discount]])</f>
        <v>960</v>
      </c>
      <c r="K685">
        <f>VALUE(SUBSTITUTE(Table1[[#This Row],[Discount]],"%",""))/100</f>
        <v>0.2</v>
      </c>
    </row>
    <row r="686" spans="1:11" x14ac:dyDescent="0.35">
      <c r="A686">
        <v>1684</v>
      </c>
      <c r="B686" s="1">
        <v>45794</v>
      </c>
      <c r="C686" t="s">
        <v>675</v>
      </c>
      <c r="D686" t="s">
        <v>980</v>
      </c>
      <c r="E686" t="s">
        <v>987</v>
      </c>
      <c r="F686" t="s">
        <v>999</v>
      </c>
      <c r="G686">
        <v>6</v>
      </c>
      <c r="H686">
        <v>4500</v>
      </c>
      <c r="I686" t="s">
        <v>1001</v>
      </c>
      <c r="J686">
        <f>Table1[[#This Row],[Quantity]]*Table1[[#This Row],[Price]]*(1-Table1[[#This Row],[Discount]])</f>
        <v>27000</v>
      </c>
      <c r="K686">
        <f>VALUE(SUBSTITUTE(Table1[[#This Row],[Discount]],"%",""))/100</f>
        <v>0</v>
      </c>
    </row>
    <row r="687" spans="1:11" x14ac:dyDescent="0.35">
      <c r="A687">
        <v>1685</v>
      </c>
      <c r="B687" s="1">
        <v>45666</v>
      </c>
      <c r="C687" t="s">
        <v>676</v>
      </c>
      <c r="D687" t="s">
        <v>979</v>
      </c>
      <c r="E687" t="s">
        <v>995</v>
      </c>
      <c r="F687" t="s">
        <v>997</v>
      </c>
      <c r="G687">
        <v>4</v>
      </c>
      <c r="H687">
        <v>4500</v>
      </c>
      <c r="I687" t="s">
        <v>1003</v>
      </c>
      <c r="J687">
        <f>Table1[[#This Row],[Quantity]]*Table1[[#This Row],[Price]]*(1-Table1[[#This Row],[Discount]])</f>
        <v>15300</v>
      </c>
      <c r="K687">
        <f>VALUE(SUBSTITUTE(Table1[[#This Row],[Discount]],"%",""))/100</f>
        <v>0.15</v>
      </c>
    </row>
    <row r="688" spans="1:11" x14ac:dyDescent="0.35">
      <c r="A688">
        <v>1686</v>
      </c>
      <c r="B688" s="1">
        <v>45616</v>
      </c>
      <c r="C688" t="s">
        <v>677</v>
      </c>
      <c r="D688" t="s">
        <v>981</v>
      </c>
      <c r="E688" t="s">
        <v>987</v>
      </c>
      <c r="F688" t="s">
        <v>999</v>
      </c>
      <c r="G688">
        <v>1</v>
      </c>
      <c r="H688">
        <v>1500</v>
      </c>
      <c r="I688" t="s">
        <v>1001</v>
      </c>
      <c r="J688">
        <f>Table1[[#This Row],[Quantity]]*Table1[[#This Row],[Price]]*(1-Table1[[#This Row],[Discount]])</f>
        <v>1500</v>
      </c>
      <c r="K688">
        <f>VALUE(SUBSTITUTE(Table1[[#This Row],[Discount]],"%",""))/100</f>
        <v>0</v>
      </c>
    </row>
    <row r="689" spans="1:11" x14ac:dyDescent="0.35">
      <c r="A689">
        <v>1687</v>
      </c>
      <c r="B689" s="1">
        <v>45835</v>
      </c>
      <c r="C689" t="s">
        <v>678</v>
      </c>
      <c r="D689" t="s">
        <v>978</v>
      </c>
      <c r="E689" t="s">
        <v>995</v>
      </c>
      <c r="F689" t="s">
        <v>997</v>
      </c>
      <c r="G689">
        <v>8</v>
      </c>
      <c r="H689">
        <v>300</v>
      </c>
      <c r="I689" t="s">
        <v>1002</v>
      </c>
      <c r="J689">
        <f>Table1[[#This Row],[Quantity]]*Table1[[#This Row],[Price]]*(1-Table1[[#This Row],[Discount]])</f>
        <v>1920</v>
      </c>
      <c r="K689">
        <f>VALUE(SUBSTITUTE(Table1[[#This Row],[Discount]],"%",""))/100</f>
        <v>0.2</v>
      </c>
    </row>
    <row r="690" spans="1:11" x14ac:dyDescent="0.35">
      <c r="A690">
        <v>1688</v>
      </c>
      <c r="B690" s="1">
        <v>45802</v>
      </c>
      <c r="C690" t="s">
        <v>679</v>
      </c>
      <c r="E690" t="s">
        <v>982</v>
      </c>
      <c r="F690" t="s">
        <v>997</v>
      </c>
      <c r="G690">
        <v>8</v>
      </c>
      <c r="H690">
        <v>100</v>
      </c>
      <c r="I690" t="s">
        <v>1000</v>
      </c>
      <c r="J690">
        <f>Table1[[#This Row],[Quantity]]*Table1[[#This Row],[Price]]*(1-Table1[[#This Row],[Discount]])</f>
        <v>760</v>
      </c>
      <c r="K690">
        <f>VALUE(SUBSTITUTE(Table1[[#This Row],[Discount]],"%",""))/100</f>
        <v>0.05</v>
      </c>
    </row>
    <row r="691" spans="1:11" x14ac:dyDescent="0.35">
      <c r="A691">
        <v>1689</v>
      </c>
      <c r="B691" s="1">
        <v>45768</v>
      </c>
      <c r="C691" t="s">
        <v>680</v>
      </c>
      <c r="D691" t="s">
        <v>979</v>
      </c>
      <c r="E691" t="s">
        <v>984</v>
      </c>
      <c r="F691" t="s">
        <v>998</v>
      </c>
      <c r="G691">
        <v>10</v>
      </c>
      <c r="H691">
        <v>300</v>
      </c>
      <c r="I691" t="s">
        <v>1002</v>
      </c>
      <c r="J691">
        <f>Table1[[#This Row],[Quantity]]*Table1[[#This Row],[Price]]*(1-Table1[[#This Row],[Discount]])</f>
        <v>2400</v>
      </c>
      <c r="K691">
        <f>VALUE(SUBSTITUTE(Table1[[#This Row],[Discount]],"%",""))/100</f>
        <v>0.2</v>
      </c>
    </row>
    <row r="692" spans="1:11" x14ac:dyDescent="0.35">
      <c r="A692">
        <v>1690</v>
      </c>
      <c r="B692" s="1">
        <v>45565</v>
      </c>
      <c r="C692" t="s">
        <v>681</v>
      </c>
      <c r="D692" t="s">
        <v>981</v>
      </c>
      <c r="E692" t="s">
        <v>983</v>
      </c>
      <c r="F692" t="s">
        <v>997</v>
      </c>
      <c r="G692">
        <v>2</v>
      </c>
      <c r="H692">
        <v>500</v>
      </c>
      <c r="I692" t="s">
        <v>1003</v>
      </c>
      <c r="J692">
        <f>Table1[[#This Row],[Quantity]]*Table1[[#This Row],[Price]]*(1-Table1[[#This Row],[Discount]])</f>
        <v>850</v>
      </c>
      <c r="K692">
        <f>VALUE(SUBSTITUTE(Table1[[#This Row],[Discount]],"%",""))/100</f>
        <v>0.15</v>
      </c>
    </row>
    <row r="693" spans="1:11" x14ac:dyDescent="0.35">
      <c r="A693">
        <v>1691</v>
      </c>
      <c r="B693" s="1">
        <v>45813</v>
      </c>
      <c r="C693" t="s">
        <v>682</v>
      </c>
      <c r="D693" t="s">
        <v>978</v>
      </c>
      <c r="E693" t="s">
        <v>987</v>
      </c>
      <c r="F693" t="s">
        <v>999</v>
      </c>
      <c r="G693">
        <v>10</v>
      </c>
      <c r="H693">
        <v>300</v>
      </c>
      <c r="I693" t="s">
        <v>1004</v>
      </c>
      <c r="J693">
        <f>Table1[[#This Row],[Quantity]]*Table1[[#This Row],[Price]]*(1-Table1[[#This Row],[Discount]])</f>
        <v>2700</v>
      </c>
      <c r="K693">
        <f>VALUE(SUBSTITUTE(Table1[[#This Row],[Discount]],"%",""))/100</f>
        <v>0.1</v>
      </c>
    </row>
    <row r="694" spans="1:11" x14ac:dyDescent="0.35">
      <c r="A694">
        <v>1692</v>
      </c>
      <c r="B694" s="1">
        <v>45710</v>
      </c>
      <c r="C694" t="s">
        <v>683</v>
      </c>
      <c r="D694" t="s">
        <v>981</v>
      </c>
      <c r="E694" t="s">
        <v>985</v>
      </c>
      <c r="F694" t="s">
        <v>998</v>
      </c>
      <c r="G694">
        <v>3</v>
      </c>
      <c r="H694">
        <v>2500</v>
      </c>
      <c r="I694" t="s">
        <v>1000</v>
      </c>
      <c r="J694">
        <f>Table1[[#This Row],[Quantity]]*Table1[[#This Row],[Price]]*(1-Table1[[#This Row],[Discount]])</f>
        <v>7125</v>
      </c>
      <c r="K694">
        <f>VALUE(SUBSTITUTE(Table1[[#This Row],[Discount]],"%",""))/100</f>
        <v>0.05</v>
      </c>
    </row>
    <row r="695" spans="1:11" x14ac:dyDescent="0.35">
      <c r="A695">
        <v>1693</v>
      </c>
      <c r="B695" s="1">
        <v>45723</v>
      </c>
      <c r="C695" t="s">
        <v>684</v>
      </c>
      <c r="D695" t="s">
        <v>979</v>
      </c>
      <c r="E695" t="s">
        <v>990</v>
      </c>
      <c r="F695" t="s">
        <v>998</v>
      </c>
      <c r="G695">
        <v>2</v>
      </c>
      <c r="H695">
        <v>1354.67</v>
      </c>
      <c r="I695" t="s">
        <v>1000</v>
      </c>
      <c r="J695">
        <f>Table1[[#This Row],[Quantity]]*Table1[[#This Row],[Price]]*(1-Table1[[#This Row],[Discount]])</f>
        <v>2573.873</v>
      </c>
      <c r="K695">
        <f>VALUE(SUBSTITUTE(Table1[[#This Row],[Discount]],"%",""))/100</f>
        <v>0.05</v>
      </c>
    </row>
    <row r="696" spans="1:11" x14ac:dyDescent="0.35">
      <c r="A696">
        <v>1694</v>
      </c>
      <c r="B696" s="1">
        <v>45764</v>
      </c>
      <c r="C696" t="s">
        <v>685</v>
      </c>
      <c r="D696" t="s">
        <v>978</v>
      </c>
      <c r="E696" t="s">
        <v>991</v>
      </c>
      <c r="F696" t="s">
        <v>998</v>
      </c>
      <c r="G696">
        <v>5</v>
      </c>
      <c r="H696">
        <v>2500</v>
      </c>
      <c r="I696" t="s">
        <v>1003</v>
      </c>
      <c r="J696">
        <f>Table1[[#This Row],[Quantity]]*Table1[[#This Row],[Price]]*(1-Table1[[#This Row],[Discount]])</f>
        <v>10625</v>
      </c>
      <c r="K696">
        <f>VALUE(SUBSTITUTE(Table1[[#This Row],[Discount]],"%",""))/100</f>
        <v>0.15</v>
      </c>
    </row>
    <row r="697" spans="1:11" x14ac:dyDescent="0.35">
      <c r="A697">
        <v>1695</v>
      </c>
      <c r="B697" s="1">
        <v>45660</v>
      </c>
      <c r="C697" t="s">
        <v>686</v>
      </c>
      <c r="D697" t="s">
        <v>978</v>
      </c>
      <c r="E697" t="s">
        <v>988</v>
      </c>
      <c r="F697" t="s">
        <v>999</v>
      </c>
      <c r="G697">
        <v>3</v>
      </c>
      <c r="H697">
        <v>100</v>
      </c>
      <c r="I697" t="s">
        <v>1002</v>
      </c>
      <c r="J697">
        <f>Table1[[#This Row],[Quantity]]*Table1[[#This Row],[Price]]*(1-Table1[[#This Row],[Discount]])</f>
        <v>240</v>
      </c>
      <c r="K697">
        <f>VALUE(SUBSTITUTE(Table1[[#This Row],[Discount]],"%",""))/100</f>
        <v>0.2</v>
      </c>
    </row>
    <row r="698" spans="1:11" x14ac:dyDescent="0.35">
      <c r="A698">
        <v>1696</v>
      </c>
      <c r="B698" s="1">
        <v>45550</v>
      </c>
      <c r="C698" t="s">
        <v>687</v>
      </c>
      <c r="D698" t="s">
        <v>978</v>
      </c>
      <c r="E698" t="s">
        <v>993</v>
      </c>
      <c r="F698" t="s">
        <v>999</v>
      </c>
      <c r="G698">
        <v>7</v>
      </c>
      <c r="H698">
        <v>100</v>
      </c>
      <c r="I698" t="s">
        <v>1002</v>
      </c>
      <c r="J698">
        <f>Table1[[#This Row],[Quantity]]*Table1[[#This Row],[Price]]*(1-Table1[[#This Row],[Discount]])</f>
        <v>560</v>
      </c>
      <c r="K698">
        <f>VALUE(SUBSTITUTE(Table1[[#This Row],[Discount]],"%",""))/100</f>
        <v>0.2</v>
      </c>
    </row>
    <row r="699" spans="1:11" x14ac:dyDescent="0.35">
      <c r="A699">
        <v>1697</v>
      </c>
      <c r="B699" s="1">
        <v>45626</v>
      </c>
      <c r="C699" t="s">
        <v>688</v>
      </c>
      <c r="D699" t="s">
        <v>978</v>
      </c>
      <c r="E699" t="s">
        <v>986</v>
      </c>
      <c r="F699" t="s">
        <v>997</v>
      </c>
      <c r="G699">
        <v>9</v>
      </c>
      <c r="H699">
        <v>500</v>
      </c>
      <c r="I699" t="s">
        <v>1003</v>
      </c>
      <c r="J699">
        <f>Table1[[#This Row],[Quantity]]*Table1[[#This Row],[Price]]*(1-Table1[[#This Row],[Discount]])</f>
        <v>3825</v>
      </c>
      <c r="K699">
        <f>VALUE(SUBSTITUTE(Table1[[#This Row],[Discount]],"%",""))/100</f>
        <v>0.15</v>
      </c>
    </row>
    <row r="700" spans="1:11" x14ac:dyDescent="0.35">
      <c r="A700">
        <v>1698</v>
      </c>
      <c r="B700" s="1">
        <v>45691</v>
      </c>
      <c r="C700" t="s">
        <v>689</v>
      </c>
      <c r="D700" t="s">
        <v>979</v>
      </c>
      <c r="E700" t="s">
        <v>994</v>
      </c>
      <c r="F700" t="s">
        <v>997</v>
      </c>
      <c r="G700">
        <v>8</v>
      </c>
      <c r="H700">
        <v>300</v>
      </c>
      <c r="I700" t="s">
        <v>1000</v>
      </c>
      <c r="J700">
        <f>Table1[[#This Row],[Quantity]]*Table1[[#This Row],[Price]]*(1-Table1[[#This Row],[Discount]])</f>
        <v>2280</v>
      </c>
      <c r="K700">
        <f>VALUE(SUBSTITUTE(Table1[[#This Row],[Discount]],"%",""))/100</f>
        <v>0.05</v>
      </c>
    </row>
    <row r="701" spans="1:11" x14ac:dyDescent="0.35">
      <c r="A701">
        <v>1699</v>
      </c>
      <c r="B701" s="1">
        <v>45646</v>
      </c>
      <c r="C701" t="s">
        <v>690</v>
      </c>
      <c r="D701" t="s">
        <v>979</v>
      </c>
      <c r="E701" t="s">
        <v>993</v>
      </c>
      <c r="F701" t="s">
        <v>999</v>
      </c>
      <c r="G701">
        <v>10</v>
      </c>
      <c r="H701">
        <v>4500</v>
      </c>
      <c r="I701" t="s">
        <v>1001</v>
      </c>
      <c r="J701">
        <f>Table1[[#This Row],[Quantity]]*Table1[[#This Row],[Price]]*(1-Table1[[#This Row],[Discount]])</f>
        <v>45000</v>
      </c>
      <c r="K701">
        <f>VALUE(SUBSTITUTE(Table1[[#This Row],[Discount]],"%",""))/100</f>
        <v>0</v>
      </c>
    </row>
    <row r="702" spans="1:11" x14ac:dyDescent="0.35">
      <c r="A702">
        <v>1700</v>
      </c>
      <c r="B702" s="1">
        <v>45537</v>
      </c>
      <c r="C702" t="s">
        <v>691</v>
      </c>
      <c r="D702" t="s">
        <v>978</v>
      </c>
      <c r="E702" t="s">
        <v>984</v>
      </c>
      <c r="F702" t="s">
        <v>998</v>
      </c>
      <c r="G702">
        <v>9</v>
      </c>
      <c r="H702">
        <v>250</v>
      </c>
      <c r="I702" t="s">
        <v>1001</v>
      </c>
      <c r="J702">
        <f>Table1[[#This Row],[Quantity]]*Table1[[#This Row],[Price]]*(1-Table1[[#This Row],[Discount]])</f>
        <v>2250</v>
      </c>
      <c r="K702">
        <f>VALUE(SUBSTITUTE(Table1[[#This Row],[Discount]],"%",""))/100</f>
        <v>0</v>
      </c>
    </row>
    <row r="703" spans="1:11" x14ac:dyDescent="0.35">
      <c r="A703">
        <v>1701</v>
      </c>
      <c r="B703" s="1">
        <v>45841</v>
      </c>
      <c r="C703" t="s">
        <v>692</v>
      </c>
      <c r="D703" t="s">
        <v>978</v>
      </c>
      <c r="E703" t="s">
        <v>985</v>
      </c>
      <c r="F703" t="s">
        <v>998</v>
      </c>
      <c r="G703">
        <v>4</v>
      </c>
      <c r="H703">
        <v>250</v>
      </c>
      <c r="I703" t="s">
        <v>1004</v>
      </c>
      <c r="J703">
        <f>Table1[[#This Row],[Quantity]]*Table1[[#This Row],[Price]]*(1-Table1[[#This Row],[Discount]])</f>
        <v>900</v>
      </c>
      <c r="K703">
        <f>VALUE(SUBSTITUTE(Table1[[#This Row],[Discount]],"%",""))/100</f>
        <v>0.1</v>
      </c>
    </row>
    <row r="704" spans="1:11" x14ac:dyDescent="0.35">
      <c r="A704">
        <v>1702</v>
      </c>
      <c r="B704" s="1">
        <v>45501</v>
      </c>
      <c r="C704" t="s">
        <v>84</v>
      </c>
      <c r="D704" t="s">
        <v>980</v>
      </c>
      <c r="E704" t="s">
        <v>988</v>
      </c>
      <c r="F704" t="s">
        <v>999</v>
      </c>
      <c r="G704">
        <v>2</v>
      </c>
      <c r="H704">
        <v>4500</v>
      </c>
      <c r="I704" t="s">
        <v>1002</v>
      </c>
      <c r="J704">
        <f>Table1[[#This Row],[Quantity]]*Table1[[#This Row],[Price]]*(1-Table1[[#This Row],[Discount]])</f>
        <v>7200</v>
      </c>
      <c r="K704">
        <f>VALUE(SUBSTITUTE(Table1[[#This Row],[Discount]],"%",""))/100</f>
        <v>0.2</v>
      </c>
    </row>
    <row r="705" spans="1:11" x14ac:dyDescent="0.35">
      <c r="A705">
        <v>1703</v>
      </c>
      <c r="B705" s="1">
        <v>45679</v>
      </c>
      <c r="C705" t="s">
        <v>693</v>
      </c>
      <c r="D705" t="s">
        <v>978</v>
      </c>
      <c r="E705" t="s">
        <v>994</v>
      </c>
      <c r="F705" t="s">
        <v>997</v>
      </c>
      <c r="G705">
        <v>3</v>
      </c>
      <c r="H705">
        <v>2500</v>
      </c>
      <c r="I705" t="s">
        <v>1004</v>
      </c>
      <c r="J705">
        <f>Table1[[#This Row],[Quantity]]*Table1[[#This Row],[Price]]*(1-Table1[[#This Row],[Discount]])</f>
        <v>6750</v>
      </c>
      <c r="K705">
        <f>VALUE(SUBSTITUTE(Table1[[#This Row],[Discount]],"%",""))/100</f>
        <v>0.1</v>
      </c>
    </row>
    <row r="706" spans="1:11" x14ac:dyDescent="0.35">
      <c r="A706">
        <v>1704</v>
      </c>
      <c r="B706" s="1">
        <v>45810</v>
      </c>
      <c r="C706" t="s">
        <v>694</v>
      </c>
      <c r="D706" t="s">
        <v>979</v>
      </c>
      <c r="E706" t="s">
        <v>988</v>
      </c>
      <c r="F706" t="s">
        <v>999</v>
      </c>
      <c r="G706">
        <v>6</v>
      </c>
      <c r="H706">
        <v>300</v>
      </c>
      <c r="I706" t="s">
        <v>1001</v>
      </c>
      <c r="J706">
        <f>Table1[[#This Row],[Quantity]]*Table1[[#This Row],[Price]]*(1-Table1[[#This Row],[Discount]])</f>
        <v>1800</v>
      </c>
      <c r="K706">
        <f>VALUE(SUBSTITUTE(Table1[[#This Row],[Discount]],"%",""))/100</f>
        <v>0</v>
      </c>
    </row>
    <row r="707" spans="1:11" x14ac:dyDescent="0.35">
      <c r="A707">
        <v>1705</v>
      </c>
      <c r="B707" s="1">
        <v>45583</v>
      </c>
      <c r="C707" t="s">
        <v>695</v>
      </c>
      <c r="D707" t="s">
        <v>978</v>
      </c>
      <c r="E707" t="s">
        <v>988</v>
      </c>
      <c r="F707" t="s">
        <v>999</v>
      </c>
      <c r="G707">
        <v>6</v>
      </c>
      <c r="H707">
        <v>500</v>
      </c>
      <c r="I707" t="s">
        <v>1004</v>
      </c>
      <c r="J707">
        <f>Table1[[#This Row],[Quantity]]*Table1[[#This Row],[Price]]*(1-Table1[[#This Row],[Discount]])</f>
        <v>2700</v>
      </c>
      <c r="K707">
        <f>VALUE(SUBSTITUTE(Table1[[#This Row],[Discount]],"%",""))/100</f>
        <v>0.1</v>
      </c>
    </row>
    <row r="708" spans="1:11" x14ac:dyDescent="0.35">
      <c r="A708">
        <v>1706</v>
      </c>
      <c r="B708" s="1">
        <v>45551</v>
      </c>
      <c r="C708" t="s">
        <v>696</v>
      </c>
      <c r="D708" t="s">
        <v>980</v>
      </c>
      <c r="E708" t="s">
        <v>991</v>
      </c>
      <c r="F708" t="s">
        <v>998</v>
      </c>
      <c r="G708">
        <v>9</v>
      </c>
      <c r="H708">
        <v>500</v>
      </c>
      <c r="I708" t="s">
        <v>1001</v>
      </c>
      <c r="J708">
        <f>Table1[[#This Row],[Quantity]]*Table1[[#This Row],[Price]]*(1-Table1[[#This Row],[Discount]])</f>
        <v>4500</v>
      </c>
      <c r="K708">
        <f>VALUE(SUBSTITUTE(Table1[[#This Row],[Discount]],"%",""))/100</f>
        <v>0</v>
      </c>
    </row>
    <row r="709" spans="1:11" x14ac:dyDescent="0.35">
      <c r="A709">
        <v>1707</v>
      </c>
      <c r="B709" s="1">
        <v>45766</v>
      </c>
      <c r="C709" t="s">
        <v>697</v>
      </c>
      <c r="D709" t="s">
        <v>980</v>
      </c>
      <c r="E709" t="s">
        <v>994</v>
      </c>
      <c r="F709" t="s">
        <v>997</v>
      </c>
      <c r="G709">
        <v>8</v>
      </c>
      <c r="H709">
        <v>1000</v>
      </c>
      <c r="I709" t="s">
        <v>1001</v>
      </c>
      <c r="J709">
        <f>Table1[[#This Row],[Quantity]]*Table1[[#This Row],[Price]]*(1-Table1[[#This Row],[Discount]])</f>
        <v>8000</v>
      </c>
      <c r="K709">
        <f>VALUE(SUBSTITUTE(Table1[[#This Row],[Discount]],"%",""))/100</f>
        <v>0</v>
      </c>
    </row>
    <row r="710" spans="1:11" x14ac:dyDescent="0.35">
      <c r="A710">
        <v>1708</v>
      </c>
      <c r="B710" s="1">
        <v>45825</v>
      </c>
      <c r="C710" t="s">
        <v>698</v>
      </c>
      <c r="D710" t="s">
        <v>979</v>
      </c>
      <c r="E710" t="s">
        <v>983</v>
      </c>
      <c r="F710" t="s">
        <v>997</v>
      </c>
      <c r="G710">
        <v>10</v>
      </c>
      <c r="H710">
        <v>300</v>
      </c>
      <c r="I710" t="s">
        <v>1002</v>
      </c>
      <c r="J710">
        <f>Table1[[#This Row],[Quantity]]*Table1[[#This Row],[Price]]*(1-Table1[[#This Row],[Discount]])</f>
        <v>2400</v>
      </c>
      <c r="K710">
        <f>VALUE(SUBSTITUTE(Table1[[#This Row],[Discount]],"%",""))/100</f>
        <v>0.2</v>
      </c>
    </row>
    <row r="711" spans="1:11" x14ac:dyDescent="0.35">
      <c r="A711">
        <v>1709</v>
      </c>
      <c r="B711" s="1">
        <v>45672</v>
      </c>
      <c r="C711" t="s">
        <v>699</v>
      </c>
      <c r="D711" t="s">
        <v>980</v>
      </c>
      <c r="E711" t="s">
        <v>995</v>
      </c>
      <c r="F711" t="s">
        <v>997</v>
      </c>
      <c r="G711">
        <v>1</v>
      </c>
      <c r="H711">
        <v>2500</v>
      </c>
      <c r="I711" t="s">
        <v>1002</v>
      </c>
      <c r="J711">
        <f>Table1[[#This Row],[Quantity]]*Table1[[#This Row],[Price]]*(1-Table1[[#This Row],[Discount]])</f>
        <v>2000</v>
      </c>
      <c r="K711">
        <f>VALUE(SUBSTITUTE(Table1[[#This Row],[Discount]],"%",""))/100</f>
        <v>0.2</v>
      </c>
    </row>
    <row r="712" spans="1:11" x14ac:dyDescent="0.35">
      <c r="A712">
        <v>1710</v>
      </c>
      <c r="B712" s="1">
        <v>45768</v>
      </c>
      <c r="C712" t="s">
        <v>700</v>
      </c>
      <c r="D712" t="s">
        <v>979</v>
      </c>
      <c r="E712" t="s">
        <v>996</v>
      </c>
      <c r="F712" t="s">
        <v>999</v>
      </c>
      <c r="G712">
        <v>4</v>
      </c>
      <c r="H712">
        <v>250</v>
      </c>
      <c r="I712" t="s">
        <v>1002</v>
      </c>
      <c r="J712">
        <f>Table1[[#This Row],[Quantity]]*Table1[[#This Row],[Price]]*(1-Table1[[#This Row],[Discount]])</f>
        <v>800</v>
      </c>
      <c r="K712">
        <f>VALUE(SUBSTITUTE(Table1[[#This Row],[Discount]],"%",""))/100</f>
        <v>0.2</v>
      </c>
    </row>
    <row r="713" spans="1:11" x14ac:dyDescent="0.35">
      <c r="A713">
        <v>1711</v>
      </c>
      <c r="B713" s="1">
        <v>45840</v>
      </c>
      <c r="C713" t="s">
        <v>701</v>
      </c>
      <c r="D713" t="s">
        <v>980</v>
      </c>
      <c r="E713" t="s">
        <v>993</v>
      </c>
      <c r="F713" t="s">
        <v>999</v>
      </c>
      <c r="G713">
        <v>4</v>
      </c>
      <c r="H713">
        <v>250</v>
      </c>
      <c r="I713" t="s">
        <v>1001</v>
      </c>
      <c r="J713">
        <f>Table1[[#This Row],[Quantity]]*Table1[[#This Row],[Price]]*(1-Table1[[#This Row],[Discount]])</f>
        <v>1000</v>
      </c>
      <c r="K713">
        <f>VALUE(SUBSTITUTE(Table1[[#This Row],[Discount]],"%",""))/100</f>
        <v>0</v>
      </c>
    </row>
    <row r="714" spans="1:11" x14ac:dyDescent="0.35">
      <c r="A714">
        <v>1712</v>
      </c>
      <c r="B714" s="1">
        <v>45598</v>
      </c>
      <c r="C714" t="s">
        <v>702</v>
      </c>
      <c r="D714" t="s">
        <v>978</v>
      </c>
      <c r="E714" t="s">
        <v>995</v>
      </c>
      <c r="F714" t="s">
        <v>997</v>
      </c>
      <c r="G714">
        <v>1</v>
      </c>
      <c r="H714">
        <v>4500</v>
      </c>
      <c r="I714" t="s">
        <v>1003</v>
      </c>
      <c r="J714">
        <f>Table1[[#This Row],[Quantity]]*Table1[[#This Row],[Price]]*(1-Table1[[#This Row],[Discount]])</f>
        <v>3825</v>
      </c>
      <c r="K714">
        <f>VALUE(SUBSTITUTE(Table1[[#This Row],[Discount]],"%",""))/100</f>
        <v>0.15</v>
      </c>
    </row>
    <row r="715" spans="1:11" x14ac:dyDescent="0.35">
      <c r="A715">
        <v>1713</v>
      </c>
      <c r="B715" s="1">
        <v>45521</v>
      </c>
      <c r="C715" t="s">
        <v>703</v>
      </c>
      <c r="D715" t="s">
        <v>981</v>
      </c>
      <c r="E715" t="s">
        <v>996</v>
      </c>
      <c r="F715" t="s">
        <v>999</v>
      </c>
      <c r="G715">
        <v>1</v>
      </c>
      <c r="H715">
        <v>250</v>
      </c>
      <c r="I715" t="s">
        <v>1003</v>
      </c>
      <c r="J715">
        <f>Table1[[#This Row],[Quantity]]*Table1[[#This Row],[Price]]*(1-Table1[[#This Row],[Discount]])</f>
        <v>212.5</v>
      </c>
      <c r="K715">
        <f>VALUE(SUBSTITUTE(Table1[[#This Row],[Discount]],"%",""))/100</f>
        <v>0.15</v>
      </c>
    </row>
    <row r="716" spans="1:11" x14ac:dyDescent="0.35">
      <c r="A716">
        <v>1714</v>
      </c>
      <c r="B716" s="1">
        <v>45591</v>
      </c>
      <c r="C716" t="s">
        <v>17</v>
      </c>
      <c r="D716" t="s">
        <v>981</v>
      </c>
      <c r="E716" t="s">
        <v>995</v>
      </c>
      <c r="F716" t="s">
        <v>997</v>
      </c>
      <c r="G716">
        <v>9</v>
      </c>
      <c r="H716">
        <v>500</v>
      </c>
      <c r="I716" t="s">
        <v>1001</v>
      </c>
      <c r="J716">
        <f>Table1[[#This Row],[Quantity]]*Table1[[#This Row],[Price]]*(1-Table1[[#This Row],[Discount]])</f>
        <v>4500</v>
      </c>
      <c r="K716">
        <f>VALUE(SUBSTITUTE(Table1[[#This Row],[Discount]],"%",""))/100</f>
        <v>0</v>
      </c>
    </row>
    <row r="717" spans="1:11" x14ac:dyDescent="0.35">
      <c r="A717">
        <v>1715</v>
      </c>
      <c r="B717" s="1">
        <v>45583</v>
      </c>
      <c r="C717" t="s">
        <v>704</v>
      </c>
      <c r="D717" t="s">
        <v>981</v>
      </c>
      <c r="E717" t="s">
        <v>986</v>
      </c>
      <c r="F717" t="s">
        <v>997</v>
      </c>
      <c r="G717">
        <v>1</v>
      </c>
      <c r="H717">
        <v>250</v>
      </c>
      <c r="I717" t="s">
        <v>1003</v>
      </c>
      <c r="J717">
        <f>Table1[[#This Row],[Quantity]]*Table1[[#This Row],[Price]]*(1-Table1[[#This Row],[Discount]])</f>
        <v>212.5</v>
      </c>
      <c r="K717">
        <f>VALUE(SUBSTITUTE(Table1[[#This Row],[Discount]],"%",""))/100</f>
        <v>0.15</v>
      </c>
    </row>
    <row r="718" spans="1:11" x14ac:dyDescent="0.35">
      <c r="A718">
        <v>1716</v>
      </c>
      <c r="B718" s="1">
        <v>45765</v>
      </c>
      <c r="C718" t="s">
        <v>705</v>
      </c>
      <c r="D718" t="s">
        <v>981</v>
      </c>
      <c r="E718" t="s">
        <v>995</v>
      </c>
      <c r="F718" t="s">
        <v>997</v>
      </c>
      <c r="G718">
        <v>2</v>
      </c>
      <c r="H718">
        <v>500</v>
      </c>
      <c r="I718" t="s">
        <v>1000</v>
      </c>
      <c r="J718">
        <f>Table1[[#This Row],[Quantity]]*Table1[[#This Row],[Price]]*(1-Table1[[#This Row],[Discount]])</f>
        <v>950</v>
      </c>
      <c r="K718">
        <f>VALUE(SUBSTITUTE(Table1[[#This Row],[Discount]],"%",""))/100</f>
        <v>0.05</v>
      </c>
    </row>
    <row r="719" spans="1:11" x14ac:dyDescent="0.35">
      <c r="A719">
        <v>1717</v>
      </c>
      <c r="B719" s="1">
        <v>45547</v>
      </c>
      <c r="C719" t="s">
        <v>706</v>
      </c>
      <c r="D719" t="s">
        <v>981</v>
      </c>
      <c r="E719" t="s">
        <v>983</v>
      </c>
      <c r="F719" t="s">
        <v>997</v>
      </c>
      <c r="G719">
        <v>4</v>
      </c>
      <c r="H719">
        <v>1500</v>
      </c>
      <c r="I719" t="s">
        <v>1004</v>
      </c>
      <c r="J719">
        <f>Table1[[#This Row],[Quantity]]*Table1[[#This Row],[Price]]*(1-Table1[[#This Row],[Discount]])</f>
        <v>5400</v>
      </c>
      <c r="K719">
        <f>VALUE(SUBSTITUTE(Table1[[#This Row],[Discount]],"%",""))/100</f>
        <v>0.1</v>
      </c>
    </row>
    <row r="720" spans="1:11" x14ac:dyDescent="0.35">
      <c r="A720">
        <v>1718</v>
      </c>
      <c r="B720" s="1">
        <v>45649</v>
      </c>
      <c r="C720" t="s">
        <v>707</v>
      </c>
      <c r="D720" t="s">
        <v>979</v>
      </c>
      <c r="E720" t="s">
        <v>993</v>
      </c>
      <c r="F720" t="s">
        <v>999</v>
      </c>
      <c r="G720">
        <v>8</v>
      </c>
      <c r="H720">
        <v>4500</v>
      </c>
      <c r="I720" t="s">
        <v>1002</v>
      </c>
      <c r="J720">
        <f>Table1[[#This Row],[Quantity]]*Table1[[#This Row],[Price]]*(1-Table1[[#This Row],[Discount]])</f>
        <v>28800</v>
      </c>
      <c r="K720">
        <f>VALUE(SUBSTITUTE(Table1[[#This Row],[Discount]],"%",""))/100</f>
        <v>0.2</v>
      </c>
    </row>
    <row r="721" spans="1:11" x14ac:dyDescent="0.35">
      <c r="A721">
        <v>1719</v>
      </c>
      <c r="B721" s="1">
        <v>45643</v>
      </c>
      <c r="C721" t="s">
        <v>708</v>
      </c>
      <c r="D721" t="s">
        <v>978</v>
      </c>
      <c r="E721" t="s">
        <v>996</v>
      </c>
      <c r="F721" t="s">
        <v>999</v>
      </c>
      <c r="G721">
        <v>10</v>
      </c>
      <c r="H721">
        <v>1500</v>
      </c>
      <c r="I721" t="s">
        <v>1001</v>
      </c>
      <c r="J721">
        <f>Table1[[#This Row],[Quantity]]*Table1[[#This Row],[Price]]*(1-Table1[[#This Row],[Discount]])</f>
        <v>15000</v>
      </c>
      <c r="K721">
        <f>VALUE(SUBSTITUTE(Table1[[#This Row],[Discount]],"%",""))/100</f>
        <v>0</v>
      </c>
    </row>
    <row r="722" spans="1:11" x14ac:dyDescent="0.35">
      <c r="A722">
        <v>1720</v>
      </c>
      <c r="B722" s="1">
        <v>45793</v>
      </c>
      <c r="C722" t="s">
        <v>709</v>
      </c>
      <c r="D722" t="s">
        <v>981</v>
      </c>
      <c r="E722" t="s">
        <v>985</v>
      </c>
      <c r="F722" t="s">
        <v>998</v>
      </c>
      <c r="G722">
        <v>2</v>
      </c>
      <c r="H722">
        <v>250</v>
      </c>
      <c r="I722" t="s">
        <v>1000</v>
      </c>
      <c r="J722">
        <f>Table1[[#This Row],[Quantity]]*Table1[[#This Row],[Price]]*(1-Table1[[#This Row],[Discount]])</f>
        <v>475</v>
      </c>
      <c r="K722">
        <f>VALUE(SUBSTITUTE(Table1[[#This Row],[Discount]],"%",""))/100</f>
        <v>0.05</v>
      </c>
    </row>
    <row r="723" spans="1:11" x14ac:dyDescent="0.35">
      <c r="A723">
        <v>1721</v>
      </c>
      <c r="B723" s="1">
        <v>45527</v>
      </c>
      <c r="C723" t="s">
        <v>710</v>
      </c>
      <c r="D723" t="s">
        <v>978</v>
      </c>
      <c r="E723" t="s">
        <v>991</v>
      </c>
      <c r="F723" t="s">
        <v>998</v>
      </c>
      <c r="G723">
        <v>1</v>
      </c>
      <c r="H723">
        <v>1000</v>
      </c>
      <c r="I723" t="s">
        <v>1003</v>
      </c>
      <c r="J723">
        <f>Table1[[#This Row],[Quantity]]*Table1[[#This Row],[Price]]*(1-Table1[[#This Row],[Discount]])</f>
        <v>850</v>
      </c>
      <c r="K723">
        <f>VALUE(SUBSTITUTE(Table1[[#This Row],[Discount]],"%",""))/100</f>
        <v>0.15</v>
      </c>
    </row>
    <row r="724" spans="1:11" x14ac:dyDescent="0.35">
      <c r="A724">
        <v>1722</v>
      </c>
      <c r="B724" s="1">
        <v>45671</v>
      </c>
      <c r="C724" t="s">
        <v>711</v>
      </c>
      <c r="D724" t="s">
        <v>978</v>
      </c>
      <c r="E724" t="s">
        <v>985</v>
      </c>
      <c r="F724" t="s">
        <v>998</v>
      </c>
      <c r="G724">
        <v>4</v>
      </c>
      <c r="H724">
        <v>250</v>
      </c>
      <c r="I724" t="s">
        <v>1001</v>
      </c>
      <c r="J724">
        <f>Table1[[#This Row],[Quantity]]*Table1[[#This Row],[Price]]*(1-Table1[[#This Row],[Discount]])</f>
        <v>1000</v>
      </c>
      <c r="K724">
        <f>VALUE(SUBSTITUTE(Table1[[#This Row],[Discount]],"%",""))/100</f>
        <v>0</v>
      </c>
    </row>
    <row r="725" spans="1:11" x14ac:dyDescent="0.35">
      <c r="A725">
        <v>1723</v>
      </c>
      <c r="B725" s="1">
        <v>45858</v>
      </c>
      <c r="C725" t="s">
        <v>712</v>
      </c>
      <c r="D725" t="s">
        <v>980</v>
      </c>
      <c r="E725" t="s">
        <v>986</v>
      </c>
      <c r="F725" t="s">
        <v>997</v>
      </c>
      <c r="G725">
        <v>6</v>
      </c>
      <c r="H725">
        <v>4500</v>
      </c>
      <c r="I725" t="s">
        <v>1002</v>
      </c>
      <c r="J725">
        <f>Table1[[#This Row],[Quantity]]*Table1[[#This Row],[Price]]*(1-Table1[[#This Row],[Discount]])</f>
        <v>21600</v>
      </c>
      <c r="K725">
        <f>VALUE(SUBSTITUTE(Table1[[#This Row],[Discount]],"%",""))/100</f>
        <v>0.2</v>
      </c>
    </row>
    <row r="726" spans="1:11" x14ac:dyDescent="0.35">
      <c r="A726">
        <v>1724</v>
      </c>
      <c r="B726" s="1">
        <v>45534</v>
      </c>
      <c r="C726" t="s">
        <v>713</v>
      </c>
      <c r="D726" t="s">
        <v>981</v>
      </c>
      <c r="E726" t="s">
        <v>988</v>
      </c>
      <c r="F726" t="s">
        <v>999</v>
      </c>
      <c r="G726">
        <v>5</v>
      </c>
      <c r="H726">
        <v>500</v>
      </c>
      <c r="I726" t="s">
        <v>1003</v>
      </c>
      <c r="J726">
        <f>Table1[[#This Row],[Quantity]]*Table1[[#This Row],[Price]]*(1-Table1[[#This Row],[Discount]])</f>
        <v>2125</v>
      </c>
      <c r="K726">
        <f>VALUE(SUBSTITUTE(Table1[[#This Row],[Discount]],"%",""))/100</f>
        <v>0.15</v>
      </c>
    </row>
    <row r="727" spans="1:11" x14ac:dyDescent="0.35">
      <c r="A727">
        <v>1725</v>
      </c>
      <c r="B727" s="1">
        <v>45784</v>
      </c>
      <c r="C727" t="s">
        <v>714</v>
      </c>
      <c r="D727" t="s">
        <v>978</v>
      </c>
      <c r="E727" t="s">
        <v>993</v>
      </c>
      <c r="F727" t="s">
        <v>999</v>
      </c>
      <c r="G727">
        <v>8</v>
      </c>
      <c r="H727">
        <v>300</v>
      </c>
      <c r="I727" t="s">
        <v>1002</v>
      </c>
      <c r="J727">
        <f>Table1[[#This Row],[Quantity]]*Table1[[#This Row],[Price]]*(1-Table1[[#This Row],[Discount]])</f>
        <v>1920</v>
      </c>
      <c r="K727">
        <f>VALUE(SUBSTITUTE(Table1[[#This Row],[Discount]],"%",""))/100</f>
        <v>0.2</v>
      </c>
    </row>
    <row r="728" spans="1:11" x14ac:dyDescent="0.35">
      <c r="A728">
        <v>1726</v>
      </c>
      <c r="B728" s="1">
        <v>45555</v>
      </c>
      <c r="C728" t="s">
        <v>715</v>
      </c>
      <c r="D728" t="s">
        <v>979</v>
      </c>
      <c r="E728" t="s">
        <v>983</v>
      </c>
      <c r="F728" t="s">
        <v>997</v>
      </c>
      <c r="G728">
        <v>3</v>
      </c>
      <c r="H728">
        <v>500</v>
      </c>
      <c r="I728" t="s">
        <v>1001</v>
      </c>
      <c r="J728">
        <f>Table1[[#This Row],[Quantity]]*Table1[[#This Row],[Price]]*(1-Table1[[#This Row],[Discount]])</f>
        <v>1500</v>
      </c>
      <c r="K728">
        <f>VALUE(SUBSTITUTE(Table1[[#This Row],[Discount]],"%",""))/100</f>
        <v>0</v>
      </c>
    </row>
    <row r="729" spans="1:11" x14ac:dyDescent="0.35">
      <c r="A729">
        <v>1727</v>
      </c>
      <c r="B729" s="1">
        <v>45734</v>
      </c>
      <c r="C729" t="s">
        <v>716</v>
      </c>
      <c r="D729" t="s">
        <v>981</v>
      </c>
      <c r="E729" t="s">
        <v>988</v>
      </c>
      <c r="F729" t="s">
        <v>999</v>
      </c>
      <c r="G729">
        <v>4</v>
      </c>
      <c r="H729">
        <v>100</v>
      </c>
      <c r="I729" t="s">
        <v>1004</v>
      </c>
      <c r="J729">
        <f>Table1[[#This Row],[Quantity]]*Table1[[#This Row],[Price]]*(1-Table1[[#This Row],[Discount]])</f>
        <v>360</v>
      </c>
      <c r="K729">
        <f>VALUE(SUBSTITUTE(Table1[[#This Row],[Discount]],"%",""))/100</f>
        <v>0.1</v>
      </c>
    </row>
    <row r="730" spans="1:11" x14ac:dyDescent="0.35">
      <c r="A730">
        <v>1728</v>
      </c>
      <c r="B730" s="1">
        <v>45769</v>
      </c>
      <c r="C730" t="s">
        <v>717</v>
      </c>
      <c r="D730" t="s">
        <v>980</v>
      </c>
      <c r="E730" t="s">
        <v>986</v>
      </c>
      <c r="F730" t="s">
        <v>997</v>
      </c>
      <c r="G730">
        <v>2</v>
      </c>
      <c r="H730">
        <v>100</v>
      </c>
      <c r="I730" t="s">
        <v>1003</v>
      </c>
      <c r="J730">
        <f>Table1[[#This Row],[Quantity]]*Table1[[#This Row],[Price]]*(1-Table1[[#This Row],[Discount]])</f>
        <v>170</v>
      </c>
      <c r="K730">
        <f>VALUE(SUBSTITUTE(Table1[[#This Row],[Discount]],"%",""))/100</f>
        <v>0.15</v>
      </c>
    </row>
    <row r="731" spans="1:11" x14ac:dyDescent="0.35">
      <c r="A731">
        <v>1729</v>
      </c>
      <c r="B731" s="1">
        <v>45580</v>
      </c>
      <c r="C731" t="s">
        <v>718</v>
      </c>
      <c r="D731" t="s">
        <v>980</v>
      </c>
      <c r="E731" t="s">
        <v>992</v>
      </c>
      <c r="F731" t="s">
        <v>998</v>
      </c>
      <c r="G731">
        <v>9</v>
      </c>
      <c r="H731">
        <v>1500</v>
      </c>
      <c r="I731" t="s">
        <v>1004</v>
      </c>
      <c r="J731">
        <f>Table1[[#This Row],[Quantity]]*Table1[[#This Row],[Price]]*(1-Table1[[#This Row],[Discount]])</f>
        <v>12150</v>
      </c>
      <c r="K731">
        <f>VALUE(SUBSTITUTE(Table1[[#This Row],[Discount]],"%",""))/100</f>
        <v>0.1</v>
      </c>
    </row>
    <row r="732" spans="1:11" x14ac:dyDescent="0.35">
      <c r="A732">
        <v>1730</v>
      </c>
      <c r="B732" s="1">
        <v>45615</v>
      </c>
      <c r="C732" t="s">
        <v>719</v>
      </c>
      <c r="D732" t="s">
        <v>979</v>
      </c>
      <c r="E732" t="s">
        <v>983</v>
      </c>
      <c r="F732" t="s">
        <v>997</v>
      </c>
      <c r="G732">
        <v>10</v>
      </c>
      <c r="H732">
        <v>4500</v>
      </c>
      <c r="I732" t="s">
        <v>1004</v>
      </c>
      <c r="J732">
        <f>Table1[[#This Row],[Quantity]]*Table1[[#This Row],[Price]]*(1-Table1[[#This Row],[Discount]])</f>
        <v>40500</v>
      </c>
      <c r="K732">
        <f>VALUE(SUBSTITUTE(Table1[[#This Row],[Discount]],"%",""))/100</f>
        <v>0.1</v>
      </c>
    </row>
    <row r="733" spans="1:11" x14ac:dyDescent="0.35">
      <c r="A733">
        <v>1731</v>
      </c>
      <c r="B733" s="1">
        <v>45593</v>
      </c>
      <c r="C733" t="s">
        <v>720</v>
      </c>
      <c r="D733" t="s">
        <v>978</v>
      </c>
      <c r="E733" t="s">
        <v>982</v>
      </c>
      <c r="F733" t="s">
        <v>997</v>
      </c>
      <c r="G733">
        <v>5</v>
      </c>
      <c r="H733">
        <v>100</v>
      </c>
      <c r="I733" t="s">
        <v>1003</v>
      </c>
      <c r="J733">
        <f>Table1[[#This Row],[Quantity]]*Table1[[#This Row],[Price]]*(1-Table1[[#This Row],[Discount]])</f>
        <v>425</v>
      </c>
      <c r="K733">
        <f>VALUE(SUBSTITUTE(Table1[[#This Row],[Discount]],"%",""))/100</f>
        <v>0.15</v>
      </c>
    </row>
    <row r="734" spans="1:11" x14ac:dyDescent="0.35">
      <c r="A734">
        <v>1732</v>
      </c>
      <c r="B734" s="1">
        <v>45706</v>
      </c>
      <c r="C734" t="s">
        <v>721</v>
      </c>
      <c r="E734" t="s">
        <v>983</v>
      </c>
      <c r="F734" t="s">
        <v>997</v>
      </c>
      <c r="G734">
        <v>10</v>
      </c>
      <c r="H734">
        <v>500</v>
      </c>
      <c r="I734" t="s">
        <v>1004</v>
      </c>
      <c r="J734">
        <f>Table1[[#This Row],[Quantity]]*Table1[[#This Row],[Price]]*(1-Table1[[#This Row],[Discount]])</f>
        <v>4500</v>
      </c>
      <c r="K734">
        <f>VALUE(SUBSTITUTE(Table1[[#This Row],[Discount]],"%",""))/100</f>
        <v>0.1</v>
      </c>
    </row>
    <row r="735" spans="1:11" x14ac:dyDescent="0.35">
      <c r="A735">
        <v>1733</v>
      </c>
      <c r="B735" s="1">
        <v>45623</v>
      </c>
      <c r="C735" t="s">
        <v>722</v>
      </c>
      <c r="D735" t="s">
        <v>980</v>
      </c>
      <c r="E735" t="s">
        <v>982</v>
      </c>
      <c r="F735" t="s">
        <v>997</v>
      </c>
      <c r="G735">
        <v>9</v>
      </c>
      <c r="H735">
        <v>2500</v>
      </c>
      <c r="I735" t="s">
        <v>1000</v>
      </c>
      <c r="J735">
        <f>Table1[[#This Row],[Quantity]]*Table1[[#This Row],[Price]]*(1-Table1[[#This Row],[Discount]])</f>
        <v>21375</v>
      </c>
      <c r="K735">
        <f>VALUE(SUBSTITUTE(Table1[[#This Row],[Discount]],"%",""))/100</f>
        <v>0.05</v>
      </c>
    </row>
    <row r="736" spans="1:11" x14ac:dyDescent="0.35">
      <c r="A736">
        <v>1734</v>
      </c>
      <c r="B736" s="1">
        <v>45642</v>
      </c>
      <c r="C736" t="s">
        <v>1005</v>
      </c>
      <c r="D736" t="s">
        <v>981</v>
      </c>
      <c r="E736" t="s">
        <v>986</v>
      </c>
      <c r="F736" t="s">
        <v>997</v>
      </c>
      <c r="G736">
        <v>7</v>
      </c>
      <c r="H736">
        <v>300</v>
      </c>
      <c r="I736" t="s">
        <v>1003</v>
      </c>
      <c r="J736">
        <f>Table1[[#This Row],[Quantity]]*Table1[[#This Row],[Price]]*(1-Table1[[#This Row],[Discount]])</f>
        <v>1785</v>
      </c>
      <c r="K736">
        <f>VALUE(SUBSTITUTE(Table1[[#This Row],[Discount]],"%",""))/100</f>
        <v>0.15</v>
      </c>
    </row>
    <row r="737" spans="1:11" x14ac:dyDescent="0.35">
      <c r="A737">
        <v>1735</v>
      </c>
      <c r="B737" s="1">
        <v>45800</v>
      </c>
      <c r="C737" t="s">
        <v>723</v>
      </c>
      <c r="D737" t="s">
        <v>980</v>
      </c>
      <c r="E737" t="s">
        <v>996</v>
      </c>
      <c r="F737" t="s">
        <v>999</v>
      </c>
      <c r="G737">
        <v>9</v>
      </c>
      <c r="H737">
        <v>250</v>
      </c>
      <c r="I737" t="s">
        <v>1000</v>
      </c>
      <c r="J737">
        <f>Table1[[#This Row],[Quantity]]*Table1[[#This Row],[Price]]*(1-Table1[[#This Row],[Discount]])</f>
        <v>2137.5</v>
      </c>
      <c r="K737">
        <f>VALUE(SUBSTITUTE(Table1[[#This Row],[Discount]],"%",""))/100</f>
        <v>0.05</v>
      </c>
    </row>
    <row r="738" spans="1:11" x14ac:dyDescent="0.35">
      <c r="A738">
        <v>1736</v>
      </c>
      <c r="B738" s="1">
        <v>45584</v>
      </c>
      <c r="C738" t="s">
        <v>724</v>
      </c>
      <c r="D738" t="s">
        <v>979</v>
      </c>
      <c r="E738" t="s">
        <v>984</v>
      </c>
      <c r="F738" t="s">
        <v>998</v>
      </c>
      <c r="G738">
        <v>7</v>
      </c>
      <c r="H738">
        <v>300</v>
      </c>
      <c r="I738" t="s">
        <v>1002</v>
      </c>
      <c r="J738">
        <f>Table1[[#This Row],[Quantity]]*Table1[[#This Row],[Price]]*(1-Table1[[#This Row],[Discount]])</f>
        <v>1680</v>
      </c>
      <c r="K738">
        <f>VALUE(SUBSTITUTE(Table1[[#This Row],[Discount]],"%",""))/100</f>
        <v>0.2</v>
      </c>
    </row>
    <row r="739" spans="1:11" x14ac:dyDescent="0.35">
      <c r="A739">
        <v>1737</v>
      </c>
      <c r="B739" s="1">
        <v>45697</v>
      </c>
      <c r="C739" t="s">
        <v>725</v>
      </c>
      <c r="D739" t="s">
        <v>979</v>
      </c>
      <c r="E739" t="s">
        <v>986</v>
      </c>
      <c r="F739" t="s">
        <v>997</v>
      </c>
      <c r="G739">
        <v>2</v>
      </c>
      <c r="H739">
        <v>2500</v>
      </c>
      <c r="I739" t="s">
        <v>1001</v>
      </c>
      <c r="J739">
        <f>Table1[[#This Row],[Quantity]]*Table1[[#This Row],[Price]]*(1-Table1[[#This Row],[Discount]])</f>
        <v>5000</v>
      </c>
      <c r="K739">
        <f>VALUE(SUBSTITUTE(Table1[[#This Row],[Discount]],"%",""))/100</f>
        <v>0</v>
      </c>
    </row>
    <row r="740" spans="1:11" x14ac:dyDescent="0.35">
      <c r="A740">
        <v>1738</v>
      </c>
      <c r="B740" s="1">
        <v>45665</v>
      </c>
      <c r="C740" t="s">
        <v>726</v>
      </c>
      <c r="D740" t="s">
        <v>978</v>
      </c>
      <c r="E740" t="s">
        <v>994</v>
      </c>
      <c r="F740" t="s">
        <v>997</v>
      </c>
      <c r="G740">
        <v>10</v>
      </c>
      <c r="H740">
        <v>300</v>
      </c>
      <c r="I740" t="s">
        <v>1000</v>
      </c>
      <c r="J740">
        <f>Table1[[#This Row],[Quantity]]*Table1[[#This Row],[Price]]*(1-Table1[[#This Row],[Discount]])</f>
        <v>2850</v>
      </c>
      <c r="K740">
        <f>VALUE(SUBSTITUTE(Table1[[#This Row],[Discount]],"%",""))/100</f>
        <v>0.05</v>
      </c>
    </row>
    <row r="741" spans="1:11" x14ac:dyDescent="0.35">
      <c r="A741">
        <v>1739</v>
      </c>
      <c r="B741" s="1">
        <v>45740</v>
      </c>
      <c r="C741" t="s">
        <v>727</v>
      </c>
      <c r="D741" t="s">
        <v>980</v>
      </c>
      <c r="E741" t="s">
        <v>989</v>
      </c>
      <c r="F741" t="s">
        <v>999</v>
      </c>
      <c r="G741">
        <v>5</v>
      </c>
      <c r="H741">
        <v>4500</v>
      </c>
      <c r="I741" t="s">
        <v>1002</v>
      </c>
      <c r="J741">
        <f>Table1[[#This Row],[Quantity]]*Table1[[#This Row],[Price]]*(1-Table1[[#This Row],[Discount]])</f>
        <v>18000</v>
      </c>
      <c r="K741">
        <f>VALUE(SUBSTITUTE(Table1[[#This Row],[Discount]],"%",""))/100</f>
        <v>0.2</v>
      </c>
    </row>
    <row r="742" spans="1:11" x14ac:dyDescent="0.35">
      <c r="A742">
        <v>1740</v>
      </c>
      <c r="B742" s="1">
        <v>45858</v>
      </c>
      <c r="C742" t="s">
        <v>728</v>
      </c>
      <c r="D742" t="s">
        <v>978</v>
      </c>
      <c r="E742" t="s">
        <v>996</v>
      </c>
      <c r="F742" t="s">
        <v>999</v>
      </c>
      <c r="G742">
        <v>2</v>
      </c>
      <c r="H742">
        <v>1000</v>
      </c>
      <c r="I742" t="s">
        <v>1003</v>
      </c>
      <c r="J742">
        <f>Table1[[#This Row],[Quantity]]*Table1[[#This Row],[Price]]*(1-Table1[[#This Row],[Discount]])</f>
        <v>1700</v>
      </c>
      <c r="K742">
        <f>VALUE(SUBSTITUTE(Table1[[#This Row],[Discount]],"%",""))/100</f>
        <v>0.15</v>
      </c>
    </row>
    <row r="743" spans="1:11" x14ac:dyDescent="0.35">
      <c r="A743">
        <v>1741</v>
      </c>
      <c r="B743" s="1">
        <v>45652</v>
      </c>
      <c r="C743" t="s">
        <v>729</v>
      </c>
      <c r="D743" t="s">
        <v>981</v>
      </c>
      <c r="E743" t="s">
        <v>985</v>
      </c>
      <c r="F743" t="s">
        <v>998</v>
      </c>
      <c r="G743">
        <v>8</v>
      </c>
      <c r="H743">
        <v>250</v>
      </c>
      <c r="I743" t="s">
        <v>1002</v>
      </c>
      <c r="J743">
        <f>Table1[[#This Row],[Quantity]]*Table1[[#This Row],[Price]]*(1-Table1[[#This Row],[Discount]])</f>
        <v>1600</v>
      </c>
      <c r="K743">
        <f>VALUE(SUBSTITUTE(Table1[[#This Row],[Discount]],"%",""))/100</f>
        <v>0.2</v>
      </c>
    </row>
    <row r="744" spans="1:11" x14ac:dyDescent="0.35">
      <c r="A744">
        <v>1742</v>
      </c>
      <c r="B744" s="1">
        <v>45750</v>
      </c>
      <c r="C744" t="s">
        <v>730</v>
      </c>
      <c r="D744" t="s">
        <v>979</v>
      </c>
      <c r="E744" t="s">
        <v>994</v>
      </c>
      <c r="F744" t="s">
        <v>997</v>
      </c>
      <c r="G744">
        <v>2</v>
      </c>
      <c r="H744">
        <v>1500</v>
      </c>
      <c r="I744" t="s">
        <v>1002</v>
      </c>
      <c r="J744">
        <f>Table1[[#This Row],[Quantity]]*Table1[[#This Row],[Price]]*(1-Table1[[#This Row],[Discount]])</f>
        <v>2400</v>
      </c>
      <c r="K744">
        <f>VALUE(SUBSTITUTE(Table1[[#This Row],[Discount]],"%",""))/100</f>
        <v>0.2</v>
      </c>
    </row>
    <row r="745" spans="1:11" x14ac:dyDescent="0.35">
      <c r="A745">
        <v>1743</v>
      </c>
      <c r="B745" s="1">
        <v>45829</v>
      </c>
      <c r="C745" t="s">
        <v>731</v>
      </c>
      <c r="D745" t="s">
        <v>979</v>
      </c>
      <c r="E745" t="s">
        <v>996</v>
      </c>
      <c r="F745" t="s">
        <v>999</v>
      </c>
      <c r="G745">
        <v>3</v>
      </c>
      <c r="H745">
        <v>1500</v>
      </c>
      <c r="I745" t="s">
        <v>1000</v>
      </c>
      <c r="J745">
        <f>Table1[[#This Row],[Quantity]]*Table1[[#This Row],[Price]]*(1-Table1[[#This Row],[Discount]])</f>
        <v>4275</v>
      </c>
      <c r="K745">
        <f>VALUE(SUBSTITUTE(Table1[[#This Row],[Discount]],"%",""))/100</f>
        <v>0.05</v>
      </c>
    </row>
    <row r="746" spans="1:11" x14ac:dyDescent="0.35">
      <c r="A746">
        <v>1744</v>
      </c>
      <c r="B746" s="1">
        <v>45546</v>
      </c>
      <c r="C746" t="s">
        <v>732</v>
      </c>
      <c r="D746" t="s">
        <v>979</v>
      </c>
      <c r="E746" t="s">
        <v>987</v>
      </c>
      <c r="F746" t="s">
        <v>999</v>
      </c>
      <c r="G746">
        <v>5</v>
      </c>
      <c r="H746">
        <v>1000</v>
      </c>
      <c r="I746" t="s">
        <v>1002</v>
      </c>
      <c r="J746">
        <f>Table1[[#This Row],[Quantity]]*Table1[[#This Row],[Price]]*(1-Table1[[#This Row],[Discount]])</f>
        <v>4000</v>
      </c>
      <c r="K746">
        <f>VALUE(SUBSTITUTE(Table1[[#This Row],[Discount]],"%",""))/100</f>
        <v>0.2</v>
      </c>
    </row>
    <row r="747" spans="1:11" x14ac:dyDescent="0.35">
      <c r="A747">
        <v>1745</v>
      </c>
      <c r="B747" s="1">
        <v>45789</v>
      </c>
      <c r="C747" t="s">
        <v>733</v>
      </c>
      <c r="D747" t="s">
        <v>981</v>
      </c>
      <c r="E747" t="s">
        <v>991</v>
      </c>
      <c r="F747" t="s">
        <v>998</v>
      </c>
      <c r="G747">
        <v>3</v>
      </c>
      <c r="H747">
        <v>1500</v>
      </c>
      <c r="I747" t="s">
        <v>1004</v>
      </c>
      <c r="J747">
        <f>Table1[[#This Row],[Quantity]]*Table1[[#This Row],[Price]]*(1-Table1[[#This Row],[Discount]])</f>
        <v>4050</v>
      </c>
      <c r="K747">
        <f>VALUE(SUBSTITUTE(Table1[[#This Row],[Discount]],"%",""))/100</f>
        <v>0.1</v>
      </c>
    </row>
    <row r="748" spans="1:11" x14ac:dyDescent="0.35">
      <c r="A748">
        <v>1746</v>
      </c>
      <c r="B748" s="1">
        <v>45554</v>
      </c>
      <c r="C748" t="s">
        <v>734</v>
      </c>
      <c r="D748" t="s">
        <v>978</v>
      </c>
      <c r="E748" t="s">
        <v>995</v>
      </c>
      <c r="F748" t="s">
        <v>997</v>
      </c>
      <c r="G748">
        <v>6</v>
      </c>
      <c r="H748">
        <v>300</v>
      </c>
      <c r="I748" t="s">
        <v>1001</v>
      </c>
      <c r="J748">
        <f>Table1[[#This Row],[Quantity]]*Table1[[#This Row],[Price]]*(1-Table1[[#This Row],[Discount]])</f>
        <v>1800</v>
      </c>
      <c r="K748">
        <f>VALUE(SUBSTITUTE(Table1[[#This Row],[Discount]],"%",""))/100</f>
        <v>0</v>
      </c>
    </row>
    <row r="749" spans="1:11" x14ac:dyDescent="0.35">
      <c r="A749">
        <v>1747</v>
      </c>
      <c r="B749" s="1">
        <v>45704</v>
      </c>
      <c r="C749" t="s">
        <v>735</v>
      </c>
      <c r="D749" t="s">
        <v>978</v>
      </c>
      <c r="E749" t="s">
        <v>988</v>
      </c>
      <c r="F749" t="s">
        <v>999</v>
      </c>
      <c r="G749">
        <v>2</v>
      </c>
      <c r="H749">
        <v>500</v>
      </c>
      <c r="I749" t="s">
        <v>1000</v>
      </c>
      <c r="J749">
        <f>Table1[[#This Row],[Quantity]]*Table1[[#This Row],[Price]]*(1-Table1[[#This Row],[Discount]])</f>
        <v>950</v>
      </c>
      <c r="K749">
        <f>VALUE(SUBSTITUTE(Table1[[#This Row],[Discount]],"%",""))/100</f>
        <v>0.05</v>
      </c>
    </row>
    <row r="750" spans="1:11" x14ac:dyDescent="0.35">
      <c r="A750">
        <v>1748</v>
      </c>
      <c r="B750" s="1">
        <v>45645</v>
      </c>
      <c r="C750" t="s">
        <v>736</v>
      </c>
      <c r="D750" t="s">
        <v>980</v>
      </c>
      <c r="E750" t="s">
        <v>995</v>
      </c>
      <c r="F750" t="s">
        <v>997</v>
      </c>
      <c r="G750">
        <v>9</v>
      </c>
      <c r="H750">
        <v>250</v>
      </c>
      <c r="I750" t="s">
        <v>1003</v>
      </c>
      <c r="J750">
        <f>Table1[[#This Row],[Quantity]]*Table1[[#This Row],[Price]]*(1-Table1[[#This Row],[Discount]])</f>
        <v>1912.5</v>
      </c>
      <c r="K750">
        <f>VALUE(SUBSTITUTE(Table1[[#This Row],[Discount]],"%",""))/100</f>
        <v>0.15</v>
      </c>
    </row>
    <row r="751" spans="1:11" x14ac:dyDescent="0.35">
      <c r="A751">
        <v>1749</v>
      </c>
      <c r="B751" s="1">
        <v>45845</v>
      </c>
      <c r="C751" t="s">
        <v>737</v>
      </c>
      <c r="D751" t="s">
        <v>978</v>
      </c>
      <c r="E751" t="s">
        <v>984</v>
      </c>
      <c r="F751" t="s">
        <v>998</v>
      </c>
      <c r="G751">
        <v>6</v>
      </c>
      <c r="H751">
        <v>1000</v>
      </c>
      <c r="I751" t="s">
        <v>1004</v>
      </c>
      <c r="J751">
        <f>Table1[[#This Row],[Quantity]]*Table1[[#This Row],[Price]]*(1-Table1[[#This Row],[Discount]])</f>
        <v>5400</v>
      </c>
      <c r="K751">
        <f>VALUE(SUBSTITUTE(Table1[[#This Row],[Discount]],"%",""))/100</f>
        <v>0.1</v>
      </c>
    </row>
    <row r="752" spans="1:11" x14ac:dyDescent="0.35">
      <c r="A752">
        <v>1750</v>
      </c>
      <c r="B752" s="1">
        <v>45667</v>
      </c>
      <c r="C752" t="s">
        <v>738</v>
      </c>
      <c r="D752" t="s">
        <v>978</v>
      </c>
      <c r="E752" t="s">
        <v>988</v>
      </c>
      <c r="F752" t="s">
        <v>999</v>
      </c>
      <c r="G752">
        <v>5</v>
      </c>
      <c r="H752">
        <v>100</v>
      </c>
      <c r="I752" t="s">
        <v>1001</v>
      </c>
      <c r="J752">
        <f>Table1[[#This Row],[Quantity]]*Table1[[#This Row],[Price]]*(1-Table1[[#This Row],[Discount]])</f>
        <v>500</v>
      </c>
      <c r="K752">
        <f>VALUE(SUBSTITUTE(Table1[[#This Row],[Discount]],"%",""))/100</f>
        <v>0</v>
      </c>
    </row>
    <row r="753" spans="1:11" x14ac:dyDescent="0.35">
      <c r="A753">
        <v>1751</v>
      </c>
      <c r="B753" s="1">
        <v>45724</v>
      </c>
      <c r="C753" t="s">
        <v>739</v>
      </c>
      <c r="D753" t="s">
        <v>980</v>
      </c>
      <c r="E753" t="s">
        <v>988</v>
      </c>
      <c r="F753" t="s">
        <v>999</v>
      </c>
      <c r="G753">
        <v>4</v>
      </c>
      <c r="H753">
        <v>300</v>
      </c>
      <c r="I753" t="s">
        <v>1001</v>
      </c>
      <c r="J753">
        <f>Table1[[#This Row],[Quantity]]*Table1[[#This Row],[Price]]*(1-Table1[[#This Row],[Discount]])</f>
        <v>1200</v>
      </c>
      <c r="K753">
        <f>VALUE(SUBSTITUTE(Table1[[#This Row],[Discount]],"%",""))/100</f>
        <v>0</v>
      </c>
    </row>
    <row r="754" spans="1:11" x14ac:dyDescent="0.35">
      <c r="A754">
        <v>1752</v>
      </c>
      <c r="B754" s="1">
        <v>45522</v>
      </c>
      <c r="C754" t="s">
        <v>740</v>
      </c>
      <c r="D754" t="s">
        <v>979</v>
      </c>
      <c r="E754" t="s">
        <v>996</v>
      </c>
      <c r="F754" t="s">
        <v>999</v>
      </c>
      <c r="G754">
        <v>1</v>
      </c>
      <c r="H754">
        <v>500</v>
      </c>
      <c r="I754" t="s">
        <v>1001</v>
      </c>
      <c r="J754">
        <f>Table1[[#This Row],[Quantity]]*Table1[[#This Row],[Price]]*(1-Table1[[#This Row],[Discount]])</f>
        <v>500</v>
      </c>
      <c r="K754">
        <f>VALUE(SUBSTITUTE(Table1[[#This Row],[Discount]],"%",""))/100</f>
        <v>0</v>
      </c>
    </row>
    <row r="755" spans="1:11" x14ac:dyDescent="0.35">
      <c r="A755">
        <v>1753</v>
      </c>
      <c r="B755" s="1">
        <v>45723</v>
      </c>
      <c r="C755" t="s">
        <v>741</v>
      </c>
      <c r="D755" t="s">
        <v>979</v>
      </c>
      <c r="E755" t="s">
        <v>985</v>
      </c>
      <c r="F755" t="s">
        <v>998</v>
      </c>
      <c r="G755">
        <v>1</v>
      </c>
      <c r="H755">
        <v>250</v>
      </c>
      <c r="I755" t="s">
        <v>1004</v>
      </c>
      <c r="J755">
        <f>Table1[[#This Row],[Quantity]]*Table1[[#This Row],[Price]]*(1-Table1[[#This Row],[Discount]])</f>
        <v>225</v>
      </c>
      <c r="K755">
        <f>VALUE(SUBSTITUTE(Table1[[#This Row],[Discount]],"%",""))/100</f>
        <v>0.1</v>
      </c>
    </row>
    <row r="756" spans="1:11" x14ac:dyDescent="0.35">
      <c r="A756">
        <v>1754</v>
      </c>
      <c r="B756" s="1">
        <v>45501</v>
      </c>
      <c r="C756" t="s">
        <v>742</v>
      </c>
      <c r="D756" t="s">
        <v>979</v>
      </c>
      <c r="E756" t="s">
        <v>991</v>
      </c>
      <c r="F756" t="s">
        <v>998</v>
      </c>
      <c r="G756">
        <v>4</v>
      </c>
      <c r="H756">
        <v>300</v>
      </c>
      <c r="I756" t="s">
        <v>1004</v>
      </c>
      <c r="J756">
        <f>Table1[[#This Row],[Quantity]]*Table1[[#This Row],[Price]]*(1-Table1[[#This Row],[Discount]])</f>
        <v>1080</v>
      </c>
      <c r="K756">
        <f>VALUE(SUBSTITUTE(Table1[[#This Row],[Discount]],"%",""))/100</f>
        <v>0.1</v>
      </c>
    </row>
    <row r="757" spans="1:11" x14ac:dyDescent="0.35">
      <c r="A757">
        <v>1755</v>
      </c>
      <c r="B757" s="1">
        <v>45684</v>
      </c>
      <c r="C757" t="s">
        <v>743</v>
      </c>
      <c r="D757" t="s">
        <v>978</v>
      </c>
      <c r="E757" t="s">
        <v>986</v>
      </c>
      <c r="F757" t="s">
        <v>997</v>
      </c>
      <c r="G757">
        <v>6</v>
      </c>
      <c r="H757">
        <v>300</v>
      </c>
      <c r="I757" t="s">
        <v>1002</v>
      </c>
      <c r="J757">
        <f>Table1[[#This Row],[Quantity]]*Table1[[#This Row],[Price]]*(1-Table1[[#This Row],[Discount]])</f>
        <v>1440</v>
      </c>
      <c r="K757">
        <f>VALUE(SUBSTITUTE(Table1[[#This Row],[Discount]],"%",""))/100</f>
        <v>0.2</v>
      </c>
    </row>
    <row r="758" spans="1:11" x14ac:dyDescent="0.35">
      <c r="A758">
        <v>1756</v>
      </c>
      <c r="B758" s="1">
        <v>45834</v>
      </c>
      <c r="C758" t="s">
        <v>744</v>
      </c>
      <c r="D758" t="s">
        <v>978</v>
      </c>
      <c r="E758" t="s">
        <v>991</v>
      </c>
      <c r="F758" t="s">
        <v>998</v>
      </c>
      <c r="G758">
        <v>4</v>
      </c>
      <c r="H758">
        <v>500</v>
      </c>
      <c r="I758" t="s">
        <v>1004</v>
      </c>
      <c r="J758">
        <f>Table1[[#This Row],[Quantity]]*Table1[[#This Row],[Price]]*(1-Table1[[#This Row],[Discount]])</f>
        <v>1800</v>
      </c>
      <c r="K758">
        <f>VALUE(SUBSTITUTE(Table1[[#This Row],[Discount]],"%",""))/100</f>
        <v>0.1</v>
      </c>
    </row>
    <row r="759" spans="1:11" x14ac:dyDescent="0.35">
      <c r="A759">
        <v>1757</v>
      </c>
      <c r="B759" s="1">
        <v>45755</v>
      </c>
      <c r="C759" t="s">
        <v>745</v>
      </c>
      <c r="D759" t="s">
        <v>978</v>
      </c>
      <c r="E759" t="s">
        <v>990</v>
      </c>
      <c r="F759" t="s">
        <v>998</v>
      </c>
      <c r="G759">
        <v>9</v>
      </c>
      <c r="H759">
        <v>4500</v>
      </c>
      <c r="I759" t="s">
        <v>1004</v>
      </c>
      <c r="J759">
        <f>Table1[[#This Row],[Quantity]]*Table1[[#This Row],[Price]]*(1-Table1[[#This Row],[Discount]])</f>
        <v>36450</v>
      </c>
      <c r="K759">
        <f>VALUE(SUBSTITUTE(Table1[[#This Row],[Discount]],"%",""))/100</f>
        <v>0.1</v>
      </c>
    </row>
    <row r="760" spans="1:11" x14ac:dyDescent="0.35">
      <c r="A760">
        <v>1758</v>
      </c>
      <c r="B760" s="1">
        <v>45780</v>
      </c>
      <c r="C760" t="s">
        <v>746</v>
      </c>
      <c r="D760" t="s">
        <v>978</v>
      </c>
      <c r="E760" t="s">
        <v>996</v>
      </c>
      <c r="F760" t="s">
        <v>999</v>
      </c>
      <c r="G760">
        <v>7</v>
      </c>
      <c r="H760">
        <v>500</v>
      </c>
      <c r="I760" t="s">
        <v>1002</v>
      </c>
      <c r="J760">
        <f>Table1[[#This Row],[Quantity]]*Table1[[#This Row],[Price]]*(1-Table1[[#This Row],[Discount]])</f>
        <v>2800</v>
      </c>
      <c r="K760">
        <f>VALUE(SUBSTITUTE(Table1[[#This Row],[Discount]],"%",""))/100</f>
        <v>0.2</v>
      </c>
    </row>
    <row r="761" spans="1:11" x14ac:dyDescent="0.35">
      <c r="A761">
        <v>1759</v>
      </c>
      <c r="B761" s="1">
        <v>45547</v>
      </c>
      <c r="C761" t="s">
        <v>747</v>
      </c>
      <c r="D761" t="s">
        <v>981</v>
      </c>
      <c r="E761" t="s">
        <v>987</v>
      </c>
      <c r="F761" t="s">
        <v>999</v>
      </c>
      <c r="G761">
        <v>9</v>
      </c>
      <c r="H761">
        <v>300</v>
      </c>
      <c r="I761" t="s">
        <v>1003</v>
      </c>
      <c r="J761">
        <f>Table1[[#This Row],[Quantity]]*Table1[[#This Row],[Price]]*(1-Table1[[#This Row],[Discount]])</f>
        <v>2295</v>
      </c>
      <c r="K761">
        <f>VALUE(SUBSTITUTE(Table1[[#This Row],[Discount]],"%",""))/100</f>
        <v>0.15</v>
      </c>
    </row>
    <row r="762" spans="1:11" x14ac:dyDescent="0.35">
      <c r="A762">
        <v>1760</v>
      </c>
      <c r="B762" s="1">
        <v>45813</v>
      </c>
      <c r="C762" t="s">
        <v>748</v>
      </c>
      <c r="D762" t="s">
        <v>980</v>
      </c>
      <c r="E762" t="s">
        <v>996</v>
      </c>
      <c r="F762" t="s">
        <v>999</v>
      </c>
      <c r="G762">
        <v>2</v>
      </c>
      <c r="H762">
        <v>2500</v>
      </c>
      <c r="I762" t="s">
        <v>1004</v>
      </c>
      <c r="J762">
        <f>Table1[[#This Row],[Quantity]]*Table1[[#This Row],[Price]]*(1-Table1[[#This Row],[Discount]])</f>
        <v>4500</v>
      </c>
      <c r="K762">
        <f>VALUE(SUBSTITUTE(Table1[[#This Row],[Discount]],"%",""))/100</f>
        <v>0.1</v>
      </c>
    </row>
    <row r="763" spans="1:11" x14ac:dyDescent="0.35">
      <c r="A763">
        <v>1761</v>
      </c>
      <c r="B763" s="1">
        <v>45841</v>
      </c>
      <c r="C763" t="s">
        <v>749</v>
      </c>
      <c r="D763" t="s">
        <v>980</v>
      </c>
      <c r="E763" t="s">
        <v>988</v>
      </c>
      <c r="F763" t="s">
        <v>999</v>
      </c>
      <c r="G763">
        <v>9</v>
      </c>
      <c r="H763">
        <v>2500</v>
      </c>
      <c r="I763" t="s">
        <v>1004</v>
      </c>
      <c r="J763">
        <f>Table1[[#This Row],[Quantity]]*Table1[[#This Row],[Price]]*(1-Table1[[#This Row],[Discount]])</f>
        <v>20250</v>
      </c>
      <c r="K763">
        <f>VALUE(SUBSTITUTE(Table1[[#This Row],[Discount]],"%",""))/100</f>
        <v>0.1</v>
      </c>
    </row>
    <row r="764" spans="1:11" x14ac:dyDescent="0.35">
      <c r="A764">
        <v>1762</v>
      </c>
      <c r="B764" s="1">
        <v>45628</v>
      </c>
      <c r="C764" t="s">
        <v>750</v>
      </c>
      <c r="D764" t="s">
        <v>979</v>
      </c>
      <c r="E764" t="s">
        <v>993</v>
      </c>
      <c r="F764" t="s">
        <v>999</v>
      </c>
      <c r="G764">
        <v>3</v>
      </c>
      <c r="H764">
        <v>100</v>
      </c>
      <c r="I764" t="s">
        <v>1003</v>
      </c>
      <c r="J764">
        <f>Table1[[#This Row],[Quantity]]*Table1[[#This Row],[Price]]*(1-Table1[[#This Row],[Discount]])</f>
        <v>255</v>
      </c>
      <c r="K764">
        <f>VALUE(SUBSTITUTE(Table1[[#This Row],[Discount]],"%",""))/100</f>
        <v>0.15</v>
      </c>
    </row>
    <row r="765" spans="1:11" x14ac:dyDescent="0.35">
      <c r="A765">
        <v>1763</v>
      </c>
      <c r="B765" s="1">
        <v>45614</v>
      </c>
      <c r="C765" t="s">
        <v>751</v>
      </c>
      <c r="D765" t="s">
        <v>979</v>
      </c>
      <c r="E765" t="s">
        <v>990</v>
      </c>
      <c r="F765" t="s">
        <v>998</v>
      </c>
      <c r="G765">
        <v>7</v>
      </c>
      <c r="H765">
        <v>2500</v>
      </c>
      <c r="I765" t="s">
        <v>1002</v>
      </c>
      <c r="J765">
        <f>Table1[[#This Row],[Quantity]]*Table1[[#This Row],[Price]]*(1-Table1[[#This Row],[Discount]])</f>
        <v>14000</v>
      </c>
      <c r="K765">
        <f>VALUE(SUBSTITUTE(Table1[[#This Row],[Discount]],"%",""))/100</f>
        <v>0.2</v>
      </c>
    </row>
    <row r="766" spans="1:11" x14ac:dyDescent="0.35">
      <c r="A766">
        <v>1764</v>
      </c>
      <c r="B766" s="1">
        <v>45681</v>
      </c>
      <c r="C766" t="s">
        <v>752</v>
      </c>
      <c r="D766" t="s">
        <v>980</v>
      </c>
      <c r="E766" t="s">
        <v>988</v>
      </c>
      <c r="F766" t="s">
        <v>999</v>
      </c>
      <c r="G766">
        <v>6</v>
      </c>
      <c r="H766">
        <v>500</v>
      </c>
      <c r="I766" t="s">
        <v>1002</v>
      </c>
      <c r="J766">
        <f>Table1[[#This Row],[Quantity]]*Table1[[#This Row],[Price]]*(1-Table1[[#This Row],[Discount]])</f>
        <v>2400</v>
      </c>
      <c r="K766">
        <f>VALUE(SUBSTITUTE(Table1[[#This Row],[Discount]],"%",""))/100</f>
        <v>0.2</v>
      </c>
    </row>
    <row r="767" spans="1:11" x14ac:dyDescent="0.35">
      <c r="A767">
        <v>1765</v>
      </c>
      <c r="B767" s="1">
        <v>45802</v>
      </c>
      <c r="C767" t="s">
        <v>753</v>
      </c>
      <c r="D767" t="s">
        <v>981</v>
      </c>
      <c r="E767" t="s">
        <v>989</v>
      </c>
      <c r="F767" t="s">
        <v>999</v>
      </c>
      <c r="G767">
        <v>10</v>
      </c>
      <c r="H767">
        <v>1000</v>
      </c>
      <c r="I767" t="s">
        <v>1003</v>
      </c>
      <c r="J767">
        <f>Table1[[#This Row],[Quantity]]*Table1[[#This Row],[Price]]*(1-Table1[[#This Row],[Discount]])</f>
        <v>8500</v>
      </c>
      <c r="K767">
        <f>VALUE(SUBSTITUTE(Table1[[#This Row],[Discount]],"%",""))/100</f>
        <v>0.15</v>
      </c>
    </row>
    <row r="768" spans="1:11" x14ac:dyDescent="0.35">
      <c r="A768">
        <v>1766</v>
      </c>
      <c r="B768" s="1">
        <v>45596</v>
      </c>
      <c r="C768" t="s">
        <v>754</v>
      </c>
      <c r="D768" t="s">
        <v>979</v>
      </c>
      <c r="E768" t="s">
        <v>989</v>
      </c>
      <c r="F768" t="s">
        <v>999</v>
      </c>
      <c r="G768">
        <v>5</v>
      </c>
      <c r="H768">
        <v>300</v>
      </c>
      <c r="I768" t="s">
        <v>1003</v>
      </c>
      <c r="J768">
        <f>Table1[[#This Row],[Quantity]]*Table1[[#This Row],[Price]]*(1-Table1[[#This Row],[Discount]])</f>
        <v>1275</v>
      </c>
      <c r="K768">
        <f>VALUE(SUBSTITUTE(Table1[[#This Row],[Discount]],"%",""))/100</f>
        <v>0.15</v>
      </c>
    </row>
    <row r="769" spans="1:11" x14ac:dyDescent="0.35">
      <c r="A769">
        <v>1767</v>
      </c>
      <c r="B769" s="1">
        <v>45711</v>
      </c>
      <c r="C769" t="s">
        <v>755</v>
      </c>
      <c r="D769" t="s">
        <v>980</v>
      </c>
      <c r="E769" t="s">
        <v>992</v>
      </c>
      <c r="F769" t="s">
        <v>998</v>
      </c>
      <c r="G769">
        <v>2</v>
      </c>
      <c r="H769">
        <v>100</v>
      </c>
      <c r="I769" t="s">
        <v>1001</v>
      </c>
      <c r="J769">
        <f>Table1[[#This Row],[Quantity]]*Table1[[#This Row],[Price]]*(1-Table1[[#This Row],[Discount]])</f>
        <v>200</v>
      </c>
      <c r="K769">
        <f>VALUE(SUBSTITUTE(Table1[[#This Row],[Discount]],"%",""))/100</f>
        <v>0</v>
      </c>
    </row>
    <row r="770" spans="1:11" x14ac:dyDescent="0.35">
      <c r="A770">
        <v>1768</v>
      </c>
      <c r="B770" s="1">
        <v>45631</v>
      </c>
      <c r="C770" t="s">
        <v>756</v>
      </c>
      <c r="D770" t="s">
        <v>979</v>
      </c>
      <c r="E770" t="s">
        <v>986</v>
      </c>
      <c r="F770" t="s">
        <v>997</v>
      </c>
      <c r="G770">
        <v>3</v>
      </c>
      <c r="H770">
        <v>1000</v>
      </c>
      <c r="I770" t="s">
        <v>1002</v>
      </c>
      <c r="J770">
        <f>Table1[[#This Row],[Quantity]]*Table1[[#This Row],[Price]]*(1-Table1[[#This Row],[Discount]])</f>
        <v>2400</v>
      </c>
      <c r="K770">
        <f>VALUE(SUBSTITUTE(Table1[[#This Row],[Discount]],"%",""))/100</f>
        <v>0.2</v>
      </c>
    </row>
    <row r="771" spans="1:11" x14ac:dyDescent="0.35">
      <c r="A771">
        <v>1769</v>
      </c>
      <c r="B771" s="1">
        <v>45783</v>
      </c>
      <c r="C771" t="s">
        <v>757</v>
      </c>
      <c r="D771" t="s">
        <v>980</v>
      </c>
      <c r="E771" t="s">
        <v>996</v>
      </c>
      <c r="F771" t="s">
        <v>999</v>
      </c>
      <c r="G771">
        <v>4</v>
      </c>
      <c r="H771">
        <v>1000</v>
      </c>
      <c r="I771" t="s">
        <v>1003</v>
      </c>
      <c r="J771">
        <f>Table1[[#This Row],[Quantity]]*Table1[[#This Row],[Price]]*(1-Table1[[#This Row],[Discount]])</f>
        <v>3400</v>
      </c>
      <c r="K771">
        <f>VALUE(SUBSTITUTE(Table1[[#This Row],[Discount]],"%",""))/100</f>
        <v>0.15</v>
      </c>
    </row>
    <row r="772" spans="1:11" x14ac:dyDescent="0.35">
      <c r="A772">
        <v>1770</v>
      </c>
      <c r="B772" s="1">
        <v>45664</v>
      </c>
      <c r="C772" t="s">
        <v>758</v>
      </c>
      <c r="D772" t="s">
        <v>979</v>
      </c>
      <c r="E772" t="s">
        <v>995</v>
      </c>
      <c r="F772" t="s">
        <v>997</v>
      </c>
      <c r="G772">
        <v>1</v>
      </c>
      <c r="H772">
        <v>100</v>
      </c>
      <c r="I772" t="s">
        <v>1003</v>
      </c>
      <c r="J772">
        <f>Table1[[#This Row],[Quantity]]*Table1[[#This Row],[Price]]*(1-Table1[[#This Row],[Discount]])</f>
        <v>85</v>
      </c>
      <c r="K772">
        <f>VALUE(SUBSTITUTE(Table1[[#This Row],[Discount]],"%",""))/100</f>
        <v>0.15</v>
      </c>
    </row>
    <row r="773" spans="1:11" x14ac:dyDescent="0.35">
      <c r="A773">
        <v>1771</v>
      </c>
      <c r="B773" s="1">
        <v>45537</v>
      </c>
      <c r="C773" t="s">
        <v>759</v>
      </c>
      <c r="D773" t="s">
        <v>981</v>
      </c>
      <c r="E773" t="s">
        <v>987</v>
      </c>
      <c r="F773" t="s">
        <v>999</v>
      </c>
      <c r="G773">
        <v>1</v>
      </c>
      <c r="H773">
        <v>300</v>
      </c>
      <c r="I773" t="s">
        <v>1002</v>
      </c>
      <c r="J773">
        <f>Table1[[#This Row],[Quantity]]*Table1[[#This Row],[Price]]*(1-Table1[[#This Row],[Discount]])</f>
        <v>240</v>
      </c>
      <c r="K773">
        <f>VALUE(SUBSTITUTE(Table1[[#This Row],[Discount]],"%",""))/100</f>
        <v>0.2</v>
      </c>
    </row>
    <row r="774" spans="1:11" x14ac:dyDescent="0.35">
      <c r="A774">
        <v>1772</v>
      </c>
      <c r="B774" s="1">
        <v>45661</v>
      </c>
      <c r="C774" t="s">
        <v>760</v>
      </c>
      <c r="D774" t="s">
        <v>980</v>
      </c>
      <c r="E774" t="s">
        <v>996</v>
      </c>
      <c r="F774" t="s">
        <v>999</v>
      </c>
      <c r="G774">
        <v>8</v>
      </c>
      <c r="H774">
        <v>250</v>
      </c>
      <c r="I774" t="s">
        <v>1002</v>
      </c>
      <c r="J774">
        <f>Table1[[#This Row],[Quantity]]*Table1[[#This Row],[Price]]*(1-Table1[[#This Row],[Discount]])</f>
        <v>1600</v>
      </c>
      <c r="K774">
        <f>VALUE(SUBSTITUTE(Table1[[#This Row],[Discount]],"%",""))/100</f>
        <v>0.2</v>
      </c>
    </row>
    <row r="775" spans="1:11" x14ac:dyDescent="0.35">
      <c r="A775">
        <v>1773</v>
      </c>
      <c r="B775" s="1">
        <v>45533</v>
      </c>
      <c r="C775" t="s">
        <v>761</v>
      </c>
      <c r="D775" t="s">
        <v>981</v>
      </c>
      <c r="E775" t="s">
        <v>989</v>
      </c>
      <c r="F775" t="s">
        <v>999</v>
      </c>
      <c r="G775">
        <v>3</v>
      </c>
      <c r="H775">
        <v>100</v>
      </c>
      <c r="I775" t="s">
        <v>1003</v>
      </c>
      <c r="J775">
        <f>Table1[[#This Row],[Quantity]]*Table1[[#This Row],[Price]]*(1-Table1[[#This Row],[Discount]])</f>
        <v>255</v>
      </c>
      <c r="K775">
        <f>VALUE(SUBSTITUTE(Table1[[#This Row],[Discount]],"%",""))/100</f>
        <v>0.15</v>
      </c>
    </row>
    <row r="776" spans="1:11" x14ac:dyDescent="0.35">
      <c r="A776">
        <v>1774</v>
      </c>
      <c r="B776" s="1">
        <v>45654</v>
      </c>
      <c r="C776" t="s">
        <v>762</v>
      </c>
      <c r="D776" t="s">
        <v>979</v>
      </c>
      <c r="E776" t="s">
        <v>993</v>
      </c>
      <c r="F776" t="s">
        <v>999</v>
      </c>
      <c r="G776">
        <v>6</v>
      </c>
      <c r="H776">
        <v>100</v>
      </c>
      <c r="I776" t="s">
        <v>1001</v>
      </c>
      <c r="J776">
        <f>Table1[[#This Row],[Quantity]]*Table1[[#This Row],[Price]]*(1-Table1[[#This Row],[Discount]])</f>
        <v>600</v>
      </c>
      <c r="K776">
        <f>VALUE(SUBSTITUTE(Table1[[#This Row],[Discount]],"%",""))/100</f>
        <v>0</v>
      </c>
    </row>
    <row r="777" spans="1:11" x14ac:dyDescent="0.35">
      <c r="A777">
        <v>1775</v>
      </c>
      <c r="B777" s="1">
        <v>45551</v>
      </c>
      <c r="C777" t="s">
        <v>763</v>
      </c>
      <c r="D777" t="s">
        <v>980</v>
      </c>
      <c r="E777" t="s">
        <v>982</v>
      </c>
      <c r="F777" t="s">
        <v>997</v>
      </c>
      <c r="G777">
        <v>6</v>
      </c>
      <c r="H777">
        <v>2500</v>
      </c>
      <c r="I777" t="s">
        <v>1001</v>
      </c>
      <c r="J777">
        <f>Table1[[#This Row],[Quantity]]*Table1[[#This Row],[Price]]*(1-Table1[[#This Row],[Discount]])</f>
        <v>15000</v>
      </c>
      <c r="K777">
        <f>VALUE(SUBSTITUTE(Table1[[#This Row],[Discount]],"%",""))/100</f>
        <v>0</v>
      </c>
    </row>
    <row r="778" spans="1:11" x14ac:dyDescent="0.35">
      <c r="A778">
        <v>1776</v>
      </c>
      <c r="B778" s="1">
        <v>45812</v>
      </c>
      <c r="C778" t="s">
        <v>764</v>
      </c>
      <c r="D778" t="s">
        <v>979</v>
      </c>
      <c r="E778" t="s">
        <v>983</v>
      </c>
      <c r="F778" t="s">
        <v>997</v>
      </c>
      <c r="G778">
        <v>4</v>
      </c>
      <c r="H778">
        <v>500</v>
      </c>
      <c r="I778" t="s">
        <v>1004</v>
      </c>
      <c r="J778">
        <f>Table1[[#This Row],[Quantity]]*Table1[[#This Row],[Price]]*(1-Table1[[#This Row],[Discount]])</f>
        <v>1800</v>
      </c>
      <c r="K778">
        <f>VALUE(SUBSTITUTE(Table1[[#This Row],[Discount]],"%",""))/100</f>
        <v>0.1</v>
      </c>
    </row>
    <row r="779" spans="1:11" x14ac:dyDescent="0.35">
      <c r="A779">
        <v>1777</v>
      </c>
      <c r="B779" s="1">
        <v>45676</v>
      </c>
      <c r="C779" t="s">
        <v>765</v>
      </c>
      <c r="D779" t="s">
        <v>980</v>
      </c>
      <c r="E779" t="s">
        <v>988</v>
      </c>
      <c r="F779" t="s">
        <v>999</v>
      </c>
      <c r="G779">
        <v>1</v>
      </c>
      <c r="H779">
        <v>1500</v>
      </c>
      <c r="I779" t="s">
        <v>1001</v>
      </c>
      <c r="J779">
        <f>Table1[[#This Row],[Quantity]]*Table1[[#This Row],[Price]]*(1-Table1[[#This Row],[Discount]])</f>
        <v>1500</v>
      </c>
      <c r="K779">
        <f>VALUE(SUBSTITUTE(Table1[[#This Row],[Discount]],"%",""))/100</f>
        <v>0</v>
      </c>
    </row>
    <row r="780" spans="1:11" x14ac:dyDescent="0.35">
      <c r="A780">
        <v>1778</v>
      </c>
      <c r="B780" s="1">
        <v>45803</v>
      </c>
      <c r="C780" t="s">
        <v>766</v>
      </c>
      <c r="D780" t="s">
        <v>979</v>
      </c>
      <c r="E780" t="s">
        <v>993</v>
      </c>
      <c r="F780" t="s">
        <v>999</v>
      </c>
      <c r="G780">
        <v>1</v>
      </c>
      <c r="H780">
        <v>4500</v>
      </c>
      <c r="I780" t="s">
        <v>1002</v>
      </c>
      <c r="J780">
        <f>Table1[[#This Row],[Quantity]]*Table1[[#This Row],[Price]]*(1-Table1[[#This Row],[Discount]])</f>
        <v>3600</v>
      </c>
      <c r="K780">
        <f>VALUE(SUBSTITUTE(Table1[[#This Row],[Discount]],"%",""))/100</f>
        <v>0.2</v>
      </c>
    </row>
    <row r="781" spans="1:11" x14ac:dyDescent="0.35">
      <c r="A781">
        <v>1779</v>
      </c>
      <c r="B781" s="1">
        <v>45675</v>
      </c>
      <c r="C781" t="s">
        <v>767</v>
      </c>
      <c r="D781" t="s">
        <v>981</v>
      </c>
      <c r="E781" t="s">
        <v>982</v>
      </c>
      <c r="F781" t="s">
        <v>997</v>
      </c>
      <c r="G781">
        <v>8</v>
      </c>
      <c r="H781">
        <v>250</v>
      </c>
      <c r="I781" t="s">
        <v>1000</v>
      </c>
      <c r="J781">
        <f>Table1[[#This Row],[Quantity]]*Table1[[#This Row],[Price]]*(1-Table1[[#This Row],[Discount]])</f>
        <v>1900</v>
      </c>
      <c r="K781">
        <f>VALUE(SUBSTITUTE(Table1[[#This Row],[Discount]],"%",""))/100</f>
        <v>0.05</v>
      </c>
    </row>
    <row r="782" spans="1:11" x14ac:dyDescent="0.35">
      <c r="A782">
        <v>1780</v>
      </c>
      <c r="B782" s="1">
        <v>45800</v>
      </c>
      <c r="C782" t="s">
        <v>768</v>
      </c>
      <c r="D782" t="s">
        <v>978</v>
      </c>
      <c r="E782" t="s">
        <v>991</v>
      </c>
      <c r="F782" t="s">
        <v>998</v>
      </c>
      <c r="G782">
        <v>5</v>
      </c>
      <c r="H782">
        <v>1500</v>
      </c>
      <c r="I782" t="s">
        <v>1003</v>
      </c>
      <c r="J782">
        <f>Table1[[#This Row],[Quantity]]*Table1[[#This Row],[Price]]*(1-Table1[[#This Row],[Discount]])</f>
        <v>6375</v>
      </c>
      <c r="K782">
        <f>VALUE(SUBSTITUTE(Table1[[#This Row],[Discount]],"%",""))/100</f>
        <v>0.15</v>
      </c>
    </row>
    <row r="783" spans="1:11" x14ac:dyDescent="0.35">
      <c r="A783">
        <v>1781</v>
      </c>
      <c r="B783" s="1">
        <v>45547</v>
      </c>
      <c r="C783" t="s">
        <v>769</v>
      </c>
      <c r="D783" t="s">
        <v>981</v>
      </c>
      <c r="E783" t="s">
        <v>983</v>
      </c>
      <c r="F783" t="s">
        <v>997</v>
      </c>
      <c r="G783">
        <v>5</v>
      </c>
      <c r="H783">
        <v>1000</v>
      </c>
      <c r="I783" t="s">
        <v>1001</v>
      </c>
      <c r="J783">
        <f>Table1[[#This Row],[Quantity]]*Table1[[#This Row],[Price]]*(1-Table1[[#This Row],[Discount]])</f>
        <v>5000</v>
      </c>
      <c r="K783">
        <f>VALUE(SUBSTITUTE(Table1[[#This Row],[Discount]],"%",""))/100</f>
        <v>0</v>
      </c>
    </row>
    <row r="784" spans="1:11" x14ac:dyDescent="0.35">
      <c r="A784">
        <v>1782</v>
      </c>
      <c r="B784" s="1">
        <v>45774</v>
      </c>
      <c r="C784" t="s">
        <v>770</v>
      </c>
      <c r="D784" t="s">
        <v>981</v>
      </c>
      <c r="E784" t="s">
        <v>982</v>
      </c>
      <c r="F784" t="s">
        <v>997</v>
      </c>
      <c r="G784">
        <v>10</v>
      </c>
      <c r="H784">
        <v>250</v>
      </c>
      <c r="I784" t="s">
        <v>1002</v>
      </c>
      <c r="J784">
        <f>Table1[[#This Row],[Quantity]]*Table1[[#This Row],[Price]]*(1-Table1[[#This Row],[Discount]])</f>
        <v>2000</v>
      </c>
      <c r="K784">
        <f>VALUE(SUBSTITUTE(Table1[[#This Row],[Discount]],"%",""))/100</f>
        <v>0.2</v>
      </c>
    </row>
    <row r="785" spans="1:11" x14ac:dyDescent="0.35">
      <c r="A785">
        <v>1783</v>
      </c>
      <c r="B785" s="1">
        <v>45628</v>
      </c>
      <c r="C785" t="s">
        <v>771</v>
      </c>
      <c r="D785" t="s">
        <v>981</v>
      </c>
      <c r="E785" t="s">
        <v>988</v>
      </c>
      <c r="F785" t="s">
        <v>999</v>
      </c>
      <c r="G785">
        <v>6</v>
      </c>
      <c r="H785">
        <v>250</v>
      </c>
      <c r="I785" t="s">
        <v>1004</v>
      </c>
      <c r="J785">
        <f>Table1[[#This Row],[Quantity]]*Table1[[#This Row],[Price]]*(1-Table1[[#This Row],[Discount]])</f>
        <v>1350</v>
      </c>
      <c r="K785">
        <f>VALUE(SUBSTITUTE(Table1[[#This Row],[Discount]],"%",""))/100</f>
        <v>0.1</v>
      </c>
    </row>
    <row r="786" spans="1:11" x14ac:dyDescent="0.35">
      <c r="A786">
        <v>1784</v>
      </c>
      <c r="B786" s="1">
        <v>45654</v>
      </c>
      <c r="C786" t="s">
        <v>772</v>
      </c>
      <c r="D786" t="s">
        <v>978</v>
      </c>
      <c r="E786" t="s">
        <v>993</v>
      </c>
      <c r="F786" t="s">
        <v>999</v>
      </c>
      <c r="G786">
        <v>10</v>
      </c>
      <c r="H786">
        <v>4500</v>
      </c>
      <c r="I786" t="s">
        <v>1002</v>
      </c>
      <c r="J786">
        <f>Table1[[#This Row],[Quantity]]*Table1[[#This Row],[Price]]*(1-Table1[[#This Row],[Discount]])</f>
        <v>36000</v>
      </c>
      <c r="K786">
        <f>VALUE(SUBSTITUTE(Table1[[#This Row],[Discount]],"%",""))/100</f>
        <v>0.2</v>
      </c>
    </row>
    <row r="787" spans="1:11" x14ac:dyDescent="0.35">
      <c r="A787">
        <v>1785</v>
      </c>
      <c r="B787" s="1">
        <v>45568</v>
      </c>
      <c r="C787" t="s">
        <v>773</v>
      </c>
      <c r="D787" t="s">
        <v>981</v>
      </c>
      <c r="E787" t="s">
        <v>991</v>
      </c>
      <c r="F787" t="s">
        <v>998</v>
      </c>
      <c r="G787">
        <v>8</v>
      </c>
      <c r="H787">
        <v>500</v>
      </c>
      <c r="I787" t="s">
        <v>1003</v>
      </c>
      <c r="J787">
        <f>Table1[[#This Row],[Quantity]]*Table1[[#This Row],[Price]]*(1-Table1[[#This Row],[Discount]])</f>
        <v>3400</v>
      </c>
      <c r="K787">
        <f>VALUE(SUBSTITUTE(Table1[[#This Row],[Discount]],"%",""))/100</f>
        <v>0.15</v>
      </c>
    </row>
    <row r="788" spans="1:11" x14ac:dyDescent="0.35">
      <c r="A788">
        <v>1786</v>
      </c>
      <c r="B788" s="1">
        <v>45791</v>
      </c>
      <c r="C788" t="s">
        <v>774</v>
      </c>
      <c r="D788" t="s">
        <v>980</v>
      </c>
      <c r="E788" t="s">
        <v>989</v>
      </c>
      <c r="F788" t="s">
        <v>999</v>
      </c>
      <c r="G788">
        <v>1</v>
      </c>
      <c r="H788">
        <v>500</v>
      </c>
      <c r="I788" t="s">
        <v>1004</v>
      </c>
      <c r="J788">
        <f>Table1[[#This Row],[Quantity]]*Table1[[#This Row],[Price]]*(1-Table1[[#This Row],[Discount]])</f>
        <v>450</v>
      </c>
      <c r="K788">
        <f>VALUE(SUBSTITUTE(Table1[[#This Row],[Discount]],"%",""))/100</f>
        <v>0.1</v>
      </c>
    </row>
    <row r="789" spans="1:11" x14ac:dyDescent="0.35">
      <c r="A789">
        <v>1787</v>
      </c>
      <c r="B789" s="1">
        <v>45809</v>
      </c>
      <c r="C789" t="s">
        <v>775</v>
      </c>
      <c r="D789" t="s">
        <v>978</v>
      </c>
      <c r="E789" t="s">
        <v>996</v>
      </c>
      <c r="F789" t="s">
        <v>999</v>
      </c>
      <c r="G789">
        <v>7</v>
      </c>
      <c r="H789">
        <v>1500</v>
      </c>
      <c r="I789" t="s">
        <v>1001</v>
      </c>
      <c r="J789">
        <f>Table1[[#This Row],[Quantity]]*Table1[[#This Row],[Price]]*(1-Table1[[#This Row],[Discount]])</f>
        <v>10500</v>
      </c>
      <c r="K789">
        <f>VALUE(SUBSTITUTE(Table1[[#This Row],[Discount]],"%",""))/100</f>
        <v>0</v>
      </c>
    </row>
    <row r="790" spans="1:11" x14ac:dyDescent="0.35">
      <c r="A790">
        <v>1788</v>
      </c>
      <c r="B790" s="1">
        <v>45587</v>
      </c>
      <c r="C790" t="s">
        <v>776</v>
      </c>
      <c r="D790" t="s">
        <v>978</v>
      </c>
      <c r="E790" t="s">
        <v>985</v>
      </c>
      <c r="F790" t="s">
        <v>998</v>
      </c>
      <c r="G790">
        <v>10</v>
      </c>
      <c r="H790">
        <v>500</v>
      </c>
      <c r="I790" t="s">
        <v>1003</v>
      </c>
      <c r="J790">
        <f>Table1[[#This Row],[Quantity]]*Table1[[#This Row],[Price]]*(1-Table1[[#This Row],[Discount]])</f>
        <v>4250</v>
      </c>
      <c r="K790">
        <f>VALUE(SUBSTITUTE(Table1[[#This Row],[Discount]],"%",""))/100</f>
        <v>0.15</v>
      </c>
    </row>
    <row r="791" spans="1:11" x14ac:dyDescent="0.35">
      <c r="A791">
        <v>1789</v>
      </c>
      <c r="B791" s="1">
        <v>45745</v>
      </c>
      <c r="C791" t="s">
        <v>777</v>
      </c>
      <c r="D791" t="s">
        <v>979</v>
      </c>
      <c r="E791" t="s">
        <v>996</v>
      </c>
      <c r="F791" t="s">
        <v>999</v>
      </c>
      <c r="G791">
        <v>8</v>
      </c>
      <c r="H791">
        <v>2500</v>
      </c>
      <c r="I791" t="s">
        <v>1003</v>
      </c>
      <c r="J791">
        <f>Table1[[#This Row],[Quantity]]*Table1[[#This Row],[Price]]*(1-Table1[[#This Row],[Discount]])</f>
        <v>17000</v>
      </c>
      <c r="K791">
        <f>VALUE(SUBSTITUTE(Table1[[#This Row],[Discount]],"%",""))/100</f>
        <v>0.15</v>
      </c>
    </row>
    <row r="792" spans="1:11" x14ac:dyDescent="0.35">
      <c r="A792">
        <v>1790</v>
      </c>
      <c r="B792" s="1">
        <v>45857</v>
      </c>
      <c r="C792" t="s">
        <v>778</v>
      </c>
      <c r="D792" t="s">
        <v>979</v>
      </c>
      <c r="E792" t="s">
        <v>989</v>
      </c>
      <c r="F792" t="s">
        <v>999</v>
      </c>
      <c r="G792">
        <v>3</v>
      </c>
      <c r="H792">
        <v>100</v>
      </c>
      <c r="I792" t="s">
        <v>1003</v>
      </c>
      <c r="J792">
        <f>Table1[[#This Row],[Quantity]]*Table1[[#This Row],[Price]]*(1-Table1[[#This Row],[Discount]])</f>
        <v>255</v>
      </c>
      <c r="K792">
        <f>VALUE(SUBSTITUTE(Table1[[#This Row],[Discount]],"%",""))/100</f>
        <v>0.15</v>
      </c>
    </row>
    <row r="793" spans="1:11" x14ac:dyDescent="0.35">
      <c r="A793">
        <v>1791</v>
      </c>
      <c r="B793" s="1">
        <v>45851</v>
      </c>
      <c r="C793" t="s">
        <v>779</v>
      </c>
      <c r="D793" t="s">
        <v>980</v>
      </c>
      <c r="E793" t="s">
        <v>987</v>
      </c>
      <c r="F793" t="s">
        <v>999</v>
      </c>
      <c r="G793">
        <v>7</v>
      </c>
      <c r="H793">
        <v>1500</v>
      </c>
      <c r="I793" t="s">
        <v>1001</v>
      </c>
      <c r="J793">
        <f>Table1[[#This Row],[Quantity]]*Table1[[#This Row],[Price]]*(1-Table1[[#This Row],[Discount]])</f>
        <v>10500</v>
      </c>
      <c r="K793">
        <f>VALUE(SUBSTITUTE(Table1[[#This Row],[Discount]],"%",""))/100</f>
        <v>0</v>
      </c>
    </row>
    <row r="794" spans="1:11" x14ac:dyDescent="0.35">
      <c r="A794">
        <v>1792</v>
      </c>
      <c r="B794" s="1">
        <v>45830</v>
      </c>
      <c r="C794" t="s">
        <v>780</v>
      </c>
      <c r="D794" t="s">
        <v>981</v>
      </c>
      <c r="E794" t="s">
        <v>991</v>
      </c>
      <c r="F794" t="s">
        <v>998</v>
      </c>
      <c r="G794">
        <v>9</v>
      </c>
      <c r="H794">
        <v>250</v>
      </c>
      <c r="I794" t="s">
        <v>1002</v>
      </c>
      <c r="J794">
        <f>Table1[[#This Row],[Quantity]]*Table1[[#This Row],[Price]]*(1-Table1[[#This Row],[Discount]])</f>
        <v>1800</v>
      </c>
      <c r="K794">
        <f>VALUE(SUBSTITUTE(Table1[[#This Row],[Discount]],"%",""))/100</f>
        <v>0.2</v>
      </c>
    </row>
    <row r="795" spans="1:11" x14ac:dyDescent="0.35">
      <c r="A795">
        <v>1793</v>
      </c>
      <c r="B795" s="1">
        <v>45680</v>
      </c>
      <c r="C795" t="s">
        <v>781</v>
      </c>
      <c r="D795" t="s">
        <v>980</v>
      </c>
      <c r="E795" t="s">
        <v>993</v>
      </c>
      <c r="F795" t="s">
        <v>999</v>
      </c>
      <c r="G795">
        <v>10</v>
      </c>
      <c r="H795">
        <v>2500</v>
      </c>
      <c r="I795" t="s">
        <v>1000</v>
      </c>
      <c r="J795">
        <f>Table1[[#This Row],[Quantity]]*Table1[[#This Row],[Price]]*(1-Table1[[#This Row],[Discount]])</f>
        <v>23750</v>
      </c>
      <c r="K795">
        <f>VALUE(SUBSTITUTE(Table1[[#This Row],[Discount]],"%",""))/100</f>
        <v>0.05</v>
      </c>
    </row>
    <row r="796" spans="1:11" x14ac:dyDescent="0.35">
      <c r="A796">
        <v>1794</v>
      </c>
      <c r="B796" s="1">
        <v>45782</v>
      </c>
      <c r="C796" t="s">
        <v>782</v>
      </c>
      <c r="D796" t="s">
        <v>979</v>
      </c>
      <c r="E796" t="s">
        <v>996</v>
      </c>
      <c r="F796" t="s">
        <v>999</v>
      </c>
      <c r="G796">
        <v>7</v>
      </c>
      <c r="H796">
        <v>1000</v>
      </c>
      <c r="I796" t="s">
        <v>1002</v>
      </c>
      <c r="J796">
        <f>Table1[[#This Row],[Quantity]]*Table1[[#This Row],[Price]]*(1-Table1[[#This Row],[Discount]])</f>
        <v>5600</v>
      </c>
      <c r="K796">
        <f>VALUE(SUBSTITUTE(Table1[[#This Row],[Discount]],"%",""))/100</f>
        <v>0.2</v>
      </c>
    </row>
    <row r="797" spans="1:11" x14ac:dyDescent="0.35">
      <c r="A797">
        <v>1795</v>
      </c>
      <c r="B797" s="1">
        <v>45568</v>
      </c>
      <c r="C797" t="s">
        <v>783</v>
      </c>
      <c r="D797" t="s">
        <v>981</v>
      </c>
      <c r="E797" t="s">
        <v>989</v>
      </c>
      <c r="F797" t="s">
        <v>999</v>
      </c>
      <c r="G797">
        <v>7</v>
      </c>
      <c r="H797">
        <v>4500</v>
      </c>
      <c r="I797" t="s">
        <v>1000</v>
      </c>
      <c r="J797">
        <f>Table1[[#This Row],[Quantity]]*Table1[[#This Row],[Price]]*(1-Table1[[#This Row],[Discount]])</f>
        <v>29925</v>
      </c>
      <c r="K797">
        <f>VALUE(SUBSTITUTE(Table1[[#This Row],[Discount]],"%",""))/100</f>
        <v>0.05</v>
      </c>
    </row>
    <row r="798" spans="1:11" x14ac:dyDescent="0.35">
      <c r="A798">
        <v>1796</v>
      </c>
      <c r="B798" s="1">
        <v>45674</v>
      </c>
      <c r="C798" t="s">
        <v>784</v>
      </c>
      <c r="D798" t="s">
        <v>979</v>
      </c>
      <c r="E798" t="s">
        <v>986</v>
      </c>
      <c r="F798" t="s">
        <v>997</v>
      </c>
      <c r="G798">
        <v>5</v>
      </c>
      <c r="H798">
        <v>100</v>
      </c>
      <c r="I798" t="s">
        <v>1002</v>
      </c>
      <c r="J798">
        <f>Table1[[#This Row],[Quantity]]*Table1[[#This Row],[Price]]*(1-Table1[[#This Row],[Discount]])</f>
        <v>400</v>
      </c>
      <c r="K798">
        <f>VALUE(SUBSTITUTE(Table1[[#This Row],[Discount]],"%",""))/100</f>
        <v>0.2</v>
      </c>
    </row>
    <row r="799" spans="1:11" x14ac:dyDescent="0.35">
      <c r="A799">
        <v>1797</v>
      </c>
      <c r="B799" s="1">
        <v>45596</v>
      </c>
      <c r="C799" t="s">
        <v>785</v>
      </c>
      <c r="D799" t="s">
        <v>981</v>
      </c>
      <c r="E799" t="s">
        <v>983</v>
      </c>
      <c r="F799" t="s">
        <v>997</v>
      </c>
      <c r="G799">
        <v>5</v>
      </c>
      <c r="H799">
        <v>2500</v>
      </c>
      <c r="I799" t="s">
        <v>1004</v>
      </c>
      <c r="J799">
        <f>Table1[[#This Row],[Quantity]]*Table1[[#This Row],[Price]]*(1-Table1[[#This Row],[Discount]])</f>
        <v>11250</v>
      </c>
      <c r="K799">
        <f>VALUE(SUBSTITUTE(Table1[[#This Row],[Discount]],"%",""))/100</f>
        <v>0.1</v>
      </c>
    </row>
    <row r="800" spans="1:11" x14ac:dyDescent="0.35">
      <c r="A800">
        <v>1798</v>
      </c>
      <c r="B800" s="1">
        <v>45687</v>
      </c>
      <c r="C800" t="s">
        <v>786</v>
      </c>
      <c r="D800" t="s">
        <v>981</v>
      </c>
      <c r="E800" t="s">
        <v>984</v>
      </c>
      <c r="F800" t="s">
        <v>998</v>
      </c>
      <c r="G800">
        <v>7</v>
      </c>
      <c r="H800">
        <v>100</v>
      </c>
      <c r="I800" t="s">
        <v>1003</v>
      </c>
      <c r="J800">
        <f>Table1[[#This Row],[Quantity]]*Table1[[#This Row],[Price]]*(1-Table1[[#This Row],[Discount]])</f>
        <v>595</v>
      </c>
      <c r="K800">
        <f>VALUE(SUBSTITUTE(Table1[[#This Row],[Discount]],"%",""))/100</f>
        <v>0.15</v>
      </c>
    </row>
    <row r="801" spans="1:11" x14ac:dyDescent="0.35">
      <c r="A801">
        <v>1799</v>
      </c>
      <c r="B801" s="1">
        <v>45578</v>
      </c>
      <c r="C801" t="s">
        <v>787</v>
      </c>
      <c r="D801" t="s">
        <v>980</v>
      </c>
      <c r="E801" t="s">
        <v>988</v>
      </c>
      <c r="F801" t="s">
        <v>999</v>
      </c>
      <c r="G801">
        <v>3</v>
      </c>
      <c r="H801">
        <v>4500</v>
      </c>
      <c r="I801" t="s">
        <v>1004</v>
      </c>
      <c r="J801">
        <f>Table1[[#This Row],[Quantity]]*Table1[[#This Row],[Price]]*(1-Table1[[#This Row],[Discount]])</f>
        <v>12150</v>
      </c>
      <c r="K801">
        <f>VALUE(SUBSTITUTE(Table1[[#This Row],[Discount]],"%",""))/100</f>
        <v>0.1</v>
      </c>
    </row>
    <row r="802" spans="1:11" x14ac:dyDescent="0.35">
      <c r="A802">
        <v>1800</v>
      </c>
      <c r="B802" s="1">
        <v>45812</v>
      </c>
      <c r="C802" t="s">
        <v>788</v>
      </c>
      <c r="D802" t="s">
        <v>979</v>
      </c>
      <c r="E802" t="s">
        <v>996</v>
      </c>
      <c r="F802" t="s">
        <v>999</v>
      </c>
      <c r="G802">
        <v>7</v>
      </c>
      <c r="H802">
        <v>1500</v>
      </c>
      <c r="I802" t="s">
        <v>1003</v>
      </c>
      <c r="J802">
        <f>Table1[[#This Row],[Quantity]]*Table1[[#This Row],[Price]]*(1-Table1[[#This Row],[Discount]])</f>
        <v>8925</v>
      </c>
      <c r="K802">
        <f>VALUE(SUBSTITUTE(Table1[[#This Row],[Discount]],"%",""))/100</f>
        <v>0.15</v>
      </c>
    </row>
    <row r="803" spans="1:11" x14ac:dyDescent="0.35">
      <c r="A803">
        <v>1801</v>
      </c>
      <c r="B803" s="1">
        <v>45778</v>
      </c>
      <c r="C803" t="s">
        <v>789</v>
      </c>
      <c r="D803" t="s">
        <v>979</v>
      </c>
      <c r="E803" t="s">
        <v>996</v>
      </c>
      <c r="F803" t="s">
        <v>999</v>
      </c>
      <c r="G803">
        <v>10</v>
      </c>
      <c r="H803">
        <v>1500</v>
      </c>
      <c r="I803" t="s">
        <v>1003</v>
      </c>
      <c r="J803">
        <f>Table1[[#This Row],[Quantity]]*Table1[[#This Row],[Price]]*(1-Table1[[#This Row],[Discount]])</f>
        <v>12750</v>
      </c>
      <c r="K803">
        <f>VALUE(SUBSTITUTE(Table1[[#This Row],[Discount]],"%",""))/100</f>
        <v>0.15</v>
      </c>
    </row>
    <row r="804" spans="1:11" x14ac:dyDescent="0.35">
      <c r="A804">
        <v>1802</v>
      </c>
      <c r="B804" s="1">
        <v>45855</v>
      </c>
      <c r="C804" t="s">
        <v>790</v>
      </c>
      <c r="D804" t="s">
        <v>981</v>
      </c>
      <c r="E804" t="s">
        <v>988</v>
      </c>
      <c r="F804" t="s">
        <v>999</v>
      </c>
      <c r="G804">
        <v>1</v>
      </c>
      <c r="H804">
        <v>2500</v>
      </c>
      <c r="I804" t="s">
        <v>1000</v>
      </c>
      <c r="J804">
        <f>Table1[[#This Row],[Quantity]]*Table1[[#This Row],[Price]]*(1-Table1[[#This Row],[Discount]])</f>
        <v>2375</v>
      </c>
      <c r="K804">
        <f>VALUE(SUBSTITUTE(Table1[[#This Row],[Discount]],"%",""))/100</f>
        <v>0.05</v>
      </c>
    </row>
    <row r="805" spans="1:11" x14ac:dyDescent="0.35">
      <c r="A805">
        <v>1803</v>
      </c>
      <c r="B805" s="1">
        <v>45511</v>
      </c>
      <c r="C805" t="s">
        <v>791</v>
      </c>
      <c r="D805" t="s">
        <v>980</v>
      </c>
      <c r="E805" t="s">
        <v>983</v>
      </c>
      <c r="F805" t="s">
        <v>997</v>
      </c>
      <c r="G805">
        <v>10</v>
      </c>
      <c r="H805">
        <v>2500</v>
      </c>
      <c r="I805" t="s">
        <v>1004</v>
      </c>
      <c r="J805">
        <f>Table1[[#This Row],[Quantity]]*Table1[[#This Row],[Price]]*(1-Table1[[#This Row],[Discount]])</f>
        <v>22500</v>
      </c>
      <c r="K805">
        <f>VALUE(SUBSTITUTE(Table1[[#This Row],[Discount]],"%",""))/100</f>
        <v>0.1</v>
      </c>
    </row>
    <row r="806" spans="1:11" x14ac:dyDescent="0.35">
      <c r="A806">
        <v>1804</v>
      </c>
      <c r="B806" s="1">
        <v>45803</v>
      </c>
      <c r="C806" t="s">
        <v>792</v>
      </c>
      <c r="D806" t="s">
        <v>979</v>
      </c>
      <c r="E806" t="s">
        <v>995</v>
      </c>
      <c r="F806" t="s">
        <v>997</v>
      </c>
      <c r="G806">
        <v>6</v>
      </c>
      <c r="H806">
        <v>1000</v>
      </c>
      <c r="I806" t="s">
        <v>1000</v>
      </c>
      <c r="J806">
        <f>Table1[[#This Row],[Quantity]]*Table1[[#This Row],[Price]]*(1-Table1[[#This Row],[Discount]])</f>
        <v>5700</v>
      </c>
      <c r="K806">
        <f>VALUE(SUBSTITUTE(Table1[[#This Row],[Discount]],"%",""))/100</f>
        <v>0.05</v>
      </c>
    </row>
    <row r="807" spans="1:11" x14ac:dyDescent="0.35">
      <c r="A807">
        <v>1805</v>
      </c>
      <c r="B807" s="1">
        <v>45639</v>
      </c>
      <c r="C807" t="s">
        <v>793</v>
      </c>
      <c r="D807" t="s">
        <v>978</v>
      </c>
      <c r="E807" t="s">
        <v>983</v>
      </c>
      <c r="F807" t="s">
        <v>997</v>
      </c>
      <c r="G807">
        <v>1</v>
      </c>
      <c r="H807">
        <v>100</v>
      </c>
      <c r="I807" t="s">
        <v>1002</v>
      </c>
      <c r="J807">
        <f>Table1[[#This Row],[Quantity]]*Table1[[#This Row],[Price]]*(1-Table1[[#This Row],[Discount]])</f>
        <v>80</v>
      </c>
      <c r="K807">
        <f>VALUE(SUBSTITUTE(Table1[[#This Row],[Discount]],"%",""))/100</f>
        <v>0.2</v>
      </c>
    </row>
    <row r="808" spans="1:11" x14ac:dyDescent="0.35">
      <c r="A808">
        <v>1806</v>
      </c>
      <c r="B808" s="1">
        <v>45539</v>
      </c>
      <c r="C808" t="s">
        <v>794</v>
      </c>
      <c r="D808" t="s">
        <v>980</v>
      </c>
      <c r="E808" t="s">
        <v>983</v>
      </c>
      <c r="F808" t="s">
        <v>997</v>
      </c>
      <c r="G808">
        <v>1</v>
      </c>
      <c r="H808">
        <v>2500</v>
      </c>
      <c r="I808" t="s">
        <v>1002</v>
      </c>
      <c r="J808">
        <f>Table1[[#This Row],[Quantity]]*Table1[[#This Row],[Price]]*(1-Table1[[#This Row],[Discount]])</f>
        <v>2000</v>
      </c>
      <c r="K808">
        <f>VALUE(SUBSTITUTE(Table1[[#This Row],[Discount]],"%",""))/100</f>
        <v>0.2</v>
      </c>
    </row>
    <row r="809" spans="1:11" x14ac:dyDescent="0.35">
      <c r="A809">
        <v>1807</v>
      </c>
      <c r="B809" s="1">
        <v>45808</v>
      </c>
      <c r="C809" t="s">
        <v>795</v>
      </c>
      <c r="D809" t="s">
        <v>980</v>
      </c>
      <c r="E809" t="s">
        <v>991</v>
      </c>
      <c r="F809" t="s">
        <v>998</v>
      </c>
      <c r="G809">
        <v>2</v>
      </c>
      <c r="H809">
        <v>100</v>
      </c>
      <c r="I809" t="s">
        <v>1002</v>
      </c>
      <c r="J809">
        <f>Table1[[#This Row],[Quantity]]*Table1[[#This Row],[Price]]*(1-Table1[[#This Row],[Discount]])</f>
        <v>160</v>
      </c>
      <c r="K809">
        <f>VALUE(SUBSTITUTE(Table1[[#This Row],[Discount]],"%",""))/100</f>
        <v>0.2</v>
      </c>
    </row>
    <row r="810" spans="1:11" x14ac:dyDescent="0.35">
      <c r="A810">
        <v>1808</v>
      </c>
      <c r="B810" s="1">
        <v>45586</v>
      </c>
      <c r="C810" t="s">
        <v>796</v>
      </c>
      <c r="D810" t="s">
        <v>981</v>
      </c>
      <c r="E810" t="s">
        <v>987</v>
      </c>
      <c r="F810" t="s">
        <v>999</v>
      </c>
      <c r="G810">
        <v>4</v>
      </c>
      <c r="H810">
        <v>500</v>
      </c>
      <c r="I810" t="s">
        <v>1000</v>
      </c>
      <c r="J810">
        <f>Table1[[#This Row],[Quantity]]*Table1[[#This Row],[Price]]*(1-Table1[[#This Row],[Discount]])</f>
        <v>1900</v>
      </c>
      <c r="K810">
        <f>VALUE(SUBSTITUTE(Table1[[#This Row],[Discount]],"%",""))/100</f>
        <v>0.05</v>
      </c>
    </row>
    <row r="811" spans="1:11" x14ac:dyDescent="0.35">
      <c r="A811">
        <v>1809</v>
      </c>
      <c r="B811" s="1">
        <v>45864</v>
      </c>
      <c r="C811" t="s">
        <v>797</v>
      </c>
      <c r="D811" t="s">
        <v>980</v>
      </c>
      <c r="E811" t="s">
        <v>991</v>
      </c>
      <c r="F811" t="s">
        <v>998</v>
      </c>
      <c r="G811">
        <v>4</v>
      </c>
      <c r="H811">
        <v>1000</v>
      </c>
      <c r="I811" t="s">
        <v>1000</v>
      </c>
      <c r="J811">
        <f>Table1[[#This Row],[Quantity]]*Table1[[#This Row],[Price]]*(1-Table1[[#This Row],[Discount]])</f>
        <v>3800</v>
      </c>
      <c r="K811">
        <f>VALUE(SUBSTITUTE(Table1[[#This Row],[Discount]],"%",""))/100</f>
        <v>0.05</v>
      </c>
    </row>
    <row r="812" spans="1:11" x14ac:dyDescent="0.35">
      <c r="A812">
        <v>1810</v>
      </c>
      <c r="B812" s="1">
        <v>45731</v>
      </c>
      <c r="C812" t="s">
        <v>798</v>
      </c>
      <c r="D812" t="s">
        <v>981</v>
      </c>
      <c r="E812" t="s">
        <v>988</v>
      </c>
      <c r="F812" t="s">
        <v>999</v>
      </c>
      <c r="G812">
        <v>10</v>
      </c>
      <c r="H812">
        <v>4500</v>
      </c>
      <c r="I812" t="s">
        <v>1000</v>
      </c>
      <c r="J812">
        <f>Table1[[#This Row],[Quantity]]*Table1[[#This Row],[Price]]*(1-Table1[[#This Row],[Discount]])</f>
        <v>42750</v>
      </c>
      <c r="K812">
        <f>VALUE(SUBSTITUTE(Table1[[#This Row],[Discount]],"%",""))/100</f>
        <v>0.05</v>
      </c>
    </row>
    <row r="813" spans="1:11" x14ac:dyDescent="0.35">
      <c r="A813">
        <v>1811</v>
      </c>
      <c r="B813" s="1">
        <v>45730</v>
      </c>
      <c r="C813" t="s">
        <v>799</v>
      </c>
      <c r="D813" t="s">
        <v>980</v>
      </c>
      <c r="E813" t="s">
        <v>988</v>
      </c>
      <c r="F813" t="s">
        <v>999</v>
      </c>
      <c r="G813">
        <v>6</v>
      </c>
      <c r="H813">
        <v>2500</v>
      </c>
      <c r="I813" t="s">
        <v>1000</v>
      </c>
      <c r="J813">
        <f>Table1[[#This Row],[Quantity]]*Table1[[#This Row],[Price]]*(1-Table1[[#This Row],[Discount]])</f>
        <v>14250</v>
      </c>
      <c r="K813">
        <f>VALUE(SUBSTITUTE(Table1[[#This Row],[Discount]],"%",""))/100</f>
        <v>0.05</v>
      </c>
    </row>
    <row r="814" spans="1:11" x14ac:dyDescent="0.35">
      <c r="A814">
        <v>1812</v>
      </c>
      <c r="B814" s="1">
        <v>45719</v>
      </c>
      <c r="C814" t="s">
        <v>800</v>
      </c>
      <c r="D814" t="s">
        <v>978</v>
      </c>
      <c r="E814" t="s">
        <v>991</v>
      </c>
      <c r="F814" t="s">
        <v>998</v>
      </c>
      <c r="G814">
        <v>1</v>
      </c>
      <c r="H814">
        <v>100</v>
      </c>
      <c r="I814" t="s">
        <v>1004</v>
      </c>
      <c r="J814">
        <f>Table1[[#This Row],[Quantity]]*Table1[[#This Row],[Price]]*(1-Table1[[#This Row],[Discount]])</f>
        <v>90</v>
      </c>
      <c r="K814">
        <f>VALUE(SUBSTITUTE(Table1[[#This Row],[Discount]],"%",""))/100</f>
        <v>0.1</v>
      </c>
    </row>
    <row r="815" spans="1:11" x14ac:dyDescent="0.35">
      <c r="A815">
        <v>1813</v>
      </c>
      <c r="B815" s="1">
        <v>45815</v>
      </c>
      <c r="C815" t="s">
        <v>801</v>
      </c>
      <c r="D815" t="s">
        <v>980</v>
      </c>
      <c r="E815" t="s">
        <v>995</v>
      </c>
      <c r="F815" t="s">
        <v>997</v>
      </c>
      <c r="G815">
        <v>1</v>
      </c>
      <c r="H815">
        <v>100</v>
      </c>
      <c r="I815" t="s">
        <v>1004</v>
      </c>
      <c r="J815">
        <f>Table1[[#This Row],[Quantity]]*Table1[[#This Row],[Price]]*(1-Table1[[#This Row],[Discount]])</f>
        <v>90</v>
      </c>
      <c r="K815">
        <f>VALUE(SUBSTITUTE(Table1[[#This Row],[Discount]],"%",""))/100</f>
        <v>0.1</v>
      </c>
    </row>
    <row r="816" spans="1:11" x14ac:dyDescent="0.35">
      <c r="A816">
        <v>1814</v>
      </c>
      <c r="B816" s="1">
        <v>45691</v>
      </c>
      <c r="C816" t="s">
        <v>802</v>
      </c>
      <c r="D816" t="s">
        <v>978</v>
      </c>
      <c r="E816" t="s">
        <v>982</v>
      </c>
      <c r="F816" t="s">
        <v>997</v>
      </c>
      <c r="G816">
        <v>10</v>
      </c>
      <c r="H816">
        <v>300</v>
      </c>
      <c r="I816" t="s">
        <v>1004</v>
      </c>
      <c r="J816">
        <f>Table1[[#This Row],[Quantity]]*Table1[[#This Row],[Price]]*(1-Table1[[#This Row],[Discount]])</f>
        <v>2700</v>
      </c>
      <c r="K816">
        <f>VALUE(SUBSTITUTE(Table1[[#This Row],[Discount]],"%",""))/100</f>
        <v>0.1</v>
      </c>
    </row>
    <row r="817" spans="1:11" x14ac:dyDescent="0.35">
      <c r="A817">
        <v>1815</v>
      </c>
      <c r="B817" s="1">
        <v>45508</v>
      </c>
      <c r="C817" t="s">
        <v>803</v>
      </c>
      <c r="D817" t="s">
        <v>981</v>
      </c>
      <c r="E817" t="s">
        <v>992</v>
      </c>
      <c r="F817" t="s">
        <v>998</v>
      </c>
      <c r="G817">
        <v>6</v>
      </c>
      <c r="H817">
        <v>2500</v>
      </c>
      <c r="I817" t="s">
        <v>1000</v>
      </c>
      <c r="J817">
        <f>Table1[[#This Row],[Quantity]]*Table1[[#This Row],[Price]]*(1-Table1[[#This Row],[Discount]])</f>
        <v>14250</v>
      </c>
      <c r="K817">
        <f>VALUE(SUBSTITUTE(Table1[[#This Row],[Discount]],"%",""))/100</f>
        <v>0.05</v>
      </c>
    </row>
    <row r="818" spans="1:11" x14ac:dyDescent="0.35">
      <c r="A818">
        <v>1816</v>
      </c>
      <c r="B818" s="1">
        <v>45579</v>
      </c>
      <c r="C818" t="s">
        <v>804</v>
      </c>
      <c r="D818" t="s">
        <v>981</v>
      </c>
      <c r="E818" t="s">
        <v>993</v>
      </c>
      <c r="F818" t="s">
        <v>999</v>
      </c>
      <c r="G818">
        <v>7</v>
      </c>
      <c r="H818">
        <v>1000</v>
      </c>
      <c r="I818" t="s">
        <v>1004</v>
      </c>
      <c r="J818">
        <f>Table1[[#This Row],[Quantity]]*Table1[[#This Row],[Price]]*(1-Table1[[#This Row],[Discount]])</f>
        <v>6300</v>
      </c>
      <c r="K818">
        <f>VALUE(SUBSTITUTE(Table1[[#This Row],[Discount]],"%",""))/100</f>
        <v>0.1</v>
      </c>
    </row>
    <row r="819" spans="1:11" x14ac:dyDescent="0.35">
      <c r="A819">
        <v>1817</v>
      </c>
      <c r="B819" s="1">
        <v>45812</v>
      </c>
      <c r="C819" t="s">
        <v>805</v>
      </c>
      <c r="D819" t="s">
        <v>978</v>
      </c>
      <c r="E819" t="s">
        <v>994</v>
      </c>
      <c r="F819" t="s">
        <v>997</v>
      </c>
      <c r="G819">
        <v>3</v>
      </c>
      <c r="H819">
        <v>4500</v>
      </c>
      <c r="I819" t="s">
        <v>1001</v>
      </c>
      <c r="J819">
        <f>Table1[[#This Row],[Quantity]]*Table1[[#This Row],[Price]]*(1-Table1[[#This Row],[Discount]])</f>
        <v>13500</v>
      </c>
      <c r="K819">
        <f>VALUE(SUBSTITUTE(Table1[[#This Row],[Discount]],"%",""))/100</f>
        <v>0</v>
      </c>
    </row>
    <row r="820" spans="1:11" x14ac:dyDescent="0.35">
      <c r="A820">
        <v>1818</v>
      </c>
      <c r="B820" s="1">
        <v>45728</v>
      </c>
      <c r="C820" t="s">
        <v>806</v>
      </c>
      <c r="D820" t="s">
        <v>980</v>
      </c>
      <c r="E820" t="s">
        <v>988</v>
      </c>
      <c r="F820" t="s">
        <v>999</v>
      </c>
      <c r="G820">
        <v>8</v>
      </c>
      <c r="H820">
        <v>2500</v>
      </c>
      <c r="I820" t="s">
        <v>1001</v>
      </c>
      <c r="J820">
        <f>Table1[[#This Row],[Quantity]]*Table1[[#This Row],[Price]]*(1-Table1[[#This Row],[Discount]])</f>
        <v>20000</v>
      </c>
      <c r="K820">
        <f>VALUE(SUBSTITUTE(Table1[[#This Row],[Discount]],"%",""))/100</f>
        <v>0</v>
      </c>
    </row>
    <row r="821" spans="1:11" x14ac:dyDescent="0.35">
      <c r="A821">
        <v>1819</v>
      </c>
      <c r="B821" s="1">
        <v>45705</v>
      </c>
      <c r="C821" t="s">
        <v>807</v>
      </c>
      <c r="D821" t="s">
        <v>979</v>
      </c>
      <c r="E821" t="s">
        <v>996</v>
      </c>
      <c r="F821" t="s">
        <v>999</v>
      </c>
      <c r="G821">
        <v>8</v>
      </c>
      <c r="H821">
        <v>250</v>
      </c>
      <c r="I821" t="s">
        <v>1000</v>
      </c>
      <c r="J821">
        <f>Table1[[#This Row],[Quantity]]*Table1[[#This Row],[Price]]*(1-Table1[[#This Row],[Discount]])</f>
        <v>1900</v>
      </c>
      <c r="K821">
        <f>VALUE(SUBSTITUTE(Table1[[#This Row],[Discount]],"%",""))/100</f>
        <v>0.05</v>
      </c>
    </row>
    <row r="822" spans="1:11" x14ac:dyDescent="0.35">
      <c r="A822">
        <v>1820</v>
      </c>
      <c r="B822" s="1">
        <v>45866</v>
      </c>
      <c r="C822" t="s">
        <v>808</v>
      </c>
      <c r="D822" t="s">
        <v>979</v>
      </c>
      <c r="E822" t="s">
        <v>991</v>
      </c>
      <c r="F822" t="s">
        <v>998</v>
      </c>
      <c r="G822">
        <v>5</v>
      </c>
      <c r="H822">
        <v>500</v>
      </c>
      <c r="I822" t="s">
        <v>1002</v>
      </c>
      <c r="J822">
        <f>Table1[[#This Row],[Quantity]]*Table1[[#This Row],[Price]]*(1-Table1[[#This Row],[Discount]])</f>
        <v>2000</v>
      </c>
      <c r="K822">
        <f>VALUE(SUBSTITUTE(Table1[[#This Row],[Discount]],"%",""))/100</f>
        <v>0.2</v>
      </c>
    </row>
    <row r="823" spans="1:11" x14ac:dyDescent="0.35">
      <c r="A823">
        <v>1821</v>
      </c>
      <c r="B823" s="1">
        <v>45626</v>
      </c>
      <c r="C823" t="s">
        <v>809</v>
      </c>
      <c r="D823" t="s">
        <v>979</v>
      </c>
      <c r="E823" t="s">
        <v>990</v>
      </c>
      <c r="F823" t="s">
        <v>998</v>
      </c>
      <c r="G823">
        <v>8</v>
      </c>
      <c r="H823">
        <v>250</v>
      </c>
      <c r="I823" t="s">
        <v>1004</v>
      </c>
      <c r="J823">
        <f>Table1[[#This Row],[Quantity]]*Table1[[#This Row],[Price]]*(1-Table1[[#This Row],[Discount]])</f>
        <v>1800</v>
      </c>
      <c r="K823">
        <f>VALUE(SUBSTITUTE(Table1[[#This Row],[Discount]],"%",""))/100</f>
        <v>0.1</v>
      </c>
    </row>
    <row r="824" spans="1:11" x14ac:dyDescent="0.35">
      <c r="A824">
        <v>1822</v>
      </c>
      <c r="B824" s="1">
        <v>45808</v>
      </c>
      <c r="C824" t="s">
        <v>810</v>
      </c>
      <c r="D824" t="s">
        <v>979</v>
      </c>
      <c r="E824" t="s">
        <v>989</v>
      </c>
      <c r="F824" t="s">
        <v>999</v>
      </c>
      <c r="G824">
        <v>2</v>
      </c>
      <c r="H824">
        <v>1500</v>
      </c>
      <c r="I824" t="s">
        <v>1000</v>
      </c>
      <c r="J824">
        <f>Table1[[#This Row],[Quantity]]*Table1[[#This Row],[Price]]*(1-Table1[[#This Row],[Discount]])</f>
        <v>2850</v>
      </c>
      <c r="K824">
        <f>VALUE(SUBSTITUTE(Table1[[#This Row],[Discount]],"%",""))/100</f>
        <v>0.05</v>
      </c>
    </row>
    <row r="825" spans="1:11" x14ac:dyDescent="0.35">
      <c r="A825">
        <v>1823</v>
      </c>
      <c r="B825" s="1">
        <v>45775</v>
      </c>
      <c r="C825" t="s">
        <v>811</v>
      </c>
      <c r="D825" t="s">
        <v>979</v>
      </c>
      <c r="E825" t="s">
        <v>993</v>
      </c>
      <c r="F825" t="s">
        <v>999</v>
      </c>
      <c r="G825">
        <v>10</v>
      </c>
      <c r="H825">
        <v>100</v>
      </c>
      <c r="I825" t="s">
        <v>1004</v>
      </c>
      <c r="J825">
        <f>Table1[[#This Row],[Quantity]]*Table1[[#This Row],[Price]]*(1-Table1[[#This Row],[Discount]])</f>
        <v>900</v>
      </c>
      <c r="K825">
        <f>VALUE(SUBSTITUTE(Table1[[#This Row],[Discount]],"%",""))/100</f>
        <v>0.1</v>
      </c>
    </row>
    <row r="826" spans="1:11" x14ac:dyDescent="0.35">
      <c r="A826">
        <v>1824</v>
      </c>
      <c r="B826" s="1">
        <v>45806</v>
      </c>
      <c r="C826" t="s">
        <v>812</v>
      </c>
      <c r="D826" t="s">
        <v>981</v>
      </c>
      <c r="E826" t="s">
        <v>995</v>
      </c>
      <c r="F826" t="s">
        <v>997</v>
      </c>
      <c r="G826">
        <v>3</v>
      </c>
      <c r="H826">
        <v>500</v>
      </c>
      <c r="I826" t="s">
        <v>1001</v>
      </c>
      <c r="J826">
        <f>Table1[[#This Row],[Quantity]]*Table1[[#This Row],[Price]]*(1-Table1[[#This Row],[Discount]])</f>
        <v>1500</v>
      </c>
      <c r="K826">
        <f>VALUE(SUBSTITUTE(Table1[[#This Row],[Discount]],"%",""))/100</f>
        <v>0</v>
      </c>
    </row>
    <row r="827" spans="1:11" x14ac:dyDescent="0.35">
      <c r="A827">
        <v>1825</v>
      </c>
      <c r="B827" s="1">
        <v>45647</v>
      </c>
      <c r="C827" t="s">
        <v>813</v>
      </c>
      <c r="D827" t="s">
        <v>978</v>
      </c>
      <c r="E827" t="s">
        <v>994</v>
      </c>
      <c r="F827" t="s">
        <v>997</v>
      </c>
      <c r="G827">
        <v>2</v>
      </c>
      <c r="H827">
        <v>2500</v>
      </c>
      <c r="I827" t="s">
        <v>1004</v>
      </c>
      <c r="J827">
        <f>Table1[[#This Row],[Quantity]]*Table1[[#This Row],[Price]]*(1-Table1[[#This Row],[Discount]])</f>
        <v>4500</v>
      </c>
      <c r="K827">
        <f>VALUE(SUBSTITUTE(Table1[[#This Row],[Discount]],"%",""))/100</f>
        <v>0.1</v>
      </c>
    </row>
    <row r="828" spans="1:11" x14ac:dyDescent="0.35">
      <c r="A828">
        <v>1826</v>
      </c>
      <c r="B828" s="1">
        <v>45784</v>
      </c>
      <c r="C828" t="s">
        <v>814</v>
      </c>
      <c r="D828" t="s">
        <v>981</v>
      </c>
      <c r="E828" t="s">
        <v>990</v>
      </c>
      <c r="F828" t="s">
        <v>998</v>
      </c>
      <c r="G828">
        <v>3</v>
      </c>
      <c r="H828">
        <v>2500</v>
      </c>
      <c r="I828" t="s">
        <v>1003</v>
      </c>
      <c r="J828">
        <f>Table1[[#This Row],[Quantity]]*Table1[[#This Row],[Price]]*(1-Table1[[#This Row],[Discount]])</f>
        <v>6375</v>
      </c>
      <c r="K828">
        <f>VALUE(SUBSTITUTE(Table1[[#This Row],[Discount]],"%",""))/100</f>
        <v>0.15</v>
      </c>
    </row>
    <row r="829" spans="1:11" x14ac:dyDescent="0.35">
      <c r="A829">
        <v>1827</v>
      </c>
      <c r="B829" s="1">
        <v>45831</v>
      </c>
      <c r="C829" t="s">
        <v>815</v>
      </c>
      <c r="D829" t="s">
        <v>978</v>
      </c>
      <c r="E829" t="s">
        <v>996</v>
      </c>
      <c r="F829" t="s">
        <v>999</v>
      </c>
      <c r="G829">
        <v>7</v>
      </c>
      <c r="H829">
        <v>1000</v>
      </c>
      <c r="I829" t="s">
        <v>1002</v>
      </c>
      <c r="J829">
        <f>Table1[[#This Row],[Quantity]]*Table1[[#This Row],[Price]]*(1-Table1[[#This Row],[Discount]])</f>
        <v>5600</v>
      </c>
      <c r="K829">
        <f>VALUE(SUBSTITUTE(Table1[[#This Row],[Discount]],"%",""))/100</f>
        <v>0.2</v>
      </c>
    </row>
    <row r="830" spans="1:11" x14ac:dyDescent="0.35">
      <c r="A830">
        <v>1828</v>
      </c>
      <c r="B830" s="1">
        <v>45858</v>
      </c>
      <c r="C830" t="s">
        <v>816</v>
      </c>
      <c r="D830" t="s">
        <v>981</v>
      </c>
      <c r="E830" t="s">
        <v>984</v>
      </c>
      <c r="F830" t="s">
        <v>998</v>
      </c>
      <c r="G830">
        <v>8</v>
      </c>
      <c r="H830">
        <v>2500</v>
      </c>
      <c r="I830" t="s">
        <v>1003</v>
      </c>
      <c r="J830">
        <f>Table1[[#This Row],[Quantity]]*Table1[[#This Row],[Price]]*(1-Table1[[#This Row],[Discount]])</f>
        <v>17000</v>
      </c>
      <c r="K830">
        <f>VALUE(SUBSTITUTE(Table1[[#This Row],[Discount]],"%",""))/100</f>
        <v>0.15</v>
      </c>
    </row>
    <row r="831" spans="1:11" x14ac:dyDescent="0.35">
      <c r="A831">
        <v>1829</v>
      </c>
      <c r="B831" s="1">
        <v>45541</v>
      </c>
      <c r="C831" t="s">
        <v>817</v>
      </c>
      <c r="D831" t="s">
        <v>979</v>
      </c>
      <c r="E831" t="s">
        <v>989</v>
      </c>
      <c r="F831" t="s">
        <v>999</v>
      </c>
      <c r="G831">
        <v>3</v>
      </c>
      <c r="H831">
        <v>2500</v>
      </c>
      <c r="I831" t="s">
        <v>1003</v>
      </c>
      <c r="J831">
        <f>Table1[[#This Row],[Quantity]]*Table1[[#This Row],[Price]]*(1-Table1[[#This Row],[Discount]])</f>
        <v>6375</v>
      </c>
      <c r="K831">
        <f>VALUE(SUBSTITUTE(Table1[[#This Row],[Discount]],"%",""))/100</f>
        <v>0.15</v>
      </c>
    </row>
    <row r="832" spans="1:11" x14ac:dyDescent="0.35">
      <c r="A832">
        <v>1830</v>
      </c>
      <c r="B832" s="1">
        <v>45593</v>
      </c>
      <c r="C832" t="s">
        <v>818</v>
      </c>
      <c r="D832" t="s">
        <v>980</v>
      </c>
      <c r="E832" t="s">
        <v>990</v>
      </c>
      <c r="F832" t="s">
        <v>998</v>
      </c>
      <c r="G832">
        <v>8</v>
      </c>
      <c r="H832">
        <v>250</v>
      </c>
      <c r="I832" t="s">
        <v>1004</v>
      </c>
      <c r="J832">
        <f>Table1[[#This Row],[Quantity]]*Table1[[#This Row],[Price]]*(1-Table1[[#This Row],[Discount]])</f>
        <v>1800</v>
      </c>
      <c r="K832">
        <f>VALUE(SUBSTITUTE(Table1[[#This Row],[Discount]],"%",""))/100</f>
        <v>0.1</v>
      </c>
    </row>
    <row r="833" spans="1:11" x14ac:dyDescent="0.35">
      <c r="A833">
        <v>1831</v>
      </c>
      <c r="B833" s="1">
        <v>45535</v>
      </c>
      <c r="C833" t="s">
        <v>819</v>
      </c>
      <c r="D833" t="s">
        <v>980</v>
      </c>
      <c r="E833" t="s">
        <v>990</v>
      </c>
      <c r="F833" t="s">
        <v>998</v>
      </c>
      <c r="G833">
        <v>5</v>
      </c>
      <c r="H833">
        <v>500</v>
      </c>
      <c r="I833" t="s">
        <v>1002</v>
      </c>
      <c r="J833">
        <f>Table1[[#This Row],[Quantity]]*Table1[[#This Row],[Price]]*(1-Table1[[#This Row],[Discount]])</f>
        <v>2000</v>
      </c>
      <c r="K833">
        <f>VALUE(SUBSTITUTE(Table1[[#This Row],[Discount]],"%",""))/100</f>
        <v>0.2</v>
      </c>
    </row>
    <row r="834" spans="1:11" x14ac:dyDescent="0.35">
      <c r="A834">
        <v>1832</v>
      </c>
      <c r="B834" s="1">
        <v>45631</v>
      </c>
      <c r="C834" t="s">
        <v>820</v>
      </c>
      <c r="D834" t="s">
        <v>979</v>
      </c>
      <c r="E834" t="s">
        <v>991</v>
      </c>
      <c r="F834" t="s">
        <v>998</v>
      </c>
      <c r="G834">
        <v>2</v>
      </c>
      <c r="H834">
        <v>2500</v>
      </c>
      <c r="I834" t="s">
        <v>1003</v>
      </c>
      <c r="J834">
        <f>Table1[[#This Row],[Quantity]]*Table1[[#This Row],[Price]]*(1-Table1[[#This Row],[Discount]])</f>
        <v>4250</v>
      </c>
      <c r="K834">
        <f>VALUE(SUBSTITUTE(Table1[[#This Row],[Discount]],"%",""))/100</f>
        <v>0.15</v>
      </c>
    </row>
    <row r="835" spans="1:11" x14ac:dyDescent="0.35">
      <c r="A835">
        <v>1833</v>
      </c>
      <c r="B835" s="1">
        <v>45527</v>
      </c>
      <c r="C835" t="s">
        <v>821</v>
      </c>
      <c r="D835" t="s">
        <v>979</v>
      </c>
      <c r="E835" t="s">
        <v>993</v>
      </c>
      <c r="F835" t="s">
        <v>999</v>
      </c>
      <c r="G835">
        <v>10</v>
      </c>
      <c r="H835">
        <v>250</v>
      </c>
      <c r="I835" t="s">
        <v>1002</v>
      </c>
      <c r="J835">
        <f>Table1[[#This Row],[Quantity]]*Table1[[#This Row],[Price]]*(1-Table1[[#This Row],[Discount]])</f>
        <v>2000</v>
      </c>
      <c r="K835">
        <f>VALUE(SUBSTITUTE(Table1[[#This Row],[Discount]],"%",""))/100</f>
        <v>0.2</v>
      </c>
    </row>
    <row r="836" spans="1:11" x14ac:dyDescent="0.35">
      <c r="A836">
        <v>1834</v>
      </c>
      <c r="B836" s="1">
        <v>45519</v>
      </c>
      <c r="C836" t="s">
        <v>822</v>
      </c>
      <c r="D836" t="s">
        <v>981</v>
      </c>
      <c r="E836" t="s">
        <v>984</v>
      </c>
      <c r="F836" t="s">
        <v>998</v>
      </c>
      <c r="G836">
        <v>1</v>
      </c>
      <c r="H836">
        <v>250</v>
      </c>
      <c r="I836" t="s">
        <v>1003</v>
      </c>
      <c r="J836">
        <f>Table1[[#This Row],[Quantity]]*Table1[[#This Row],[Price]]*(1-Table1[[#This Row],[Discount]])</f>
        <v>212.5</v>
      </c>
      <c r="K836">
        <f>VALUE(SUBSTITUTE(Table1[[#This Row],[Discount]],"%",""))/100</f>
        <v>0.15</v>
      </c>
    </row>
    <row r="837" spans="1:11" x14ac:dyDescent="0.35">
      <c r="A837">
        <v>1835</v>
      </c>
      <c r="B837" s="1">
        <v>45844</v>
      </c>
      <c r="C837" t="s">
        <v>823</v>
      </c>
      <c r="D837" t="s">
        <v>978</v>
      </c>
      <c r="E837" t="s">
        <v>989</v>
      </c>
      <c r="F837" t="s">
        <v>999</v>
      </c>
      <c r="G837">
        <v>5</v>
      </c>
      <c r="H837">
        <v>1500</v>
      </c>
      <c r="I837" t="s">
        <v>1000</v>
      </c>
      <c r="J837">
        <f>Table1[[#This Row],[Quantity]]*Table1[[#This Row],[Price]]*(1-Table1[[#This Row],[Discount]])</f>
        <v>7125</v>
      </c>
      <c r="K837">
        <f>VALUE(SUBSTITUTE(Table1[[#This Row],[Discount]],"%",""))/100</f>
        <v>0.05</v>
      </c>
    </row>
    <row r="838" spans="1:11" x14ac:dyDescent="0.35">
      <c r="A838">
        <v>1836</v>
      </c>
      <c r="B838" s="1">
        <v>45646</v>
      </c>
      <c r="C838" t="s">
        <v>824</v>
      </c>
      <c r="D838" t="s">
        <v>980</v>
      </c>
      <c r="E838" t="s">
        <v>982</v>
      </c>
      <c r="F838" t="s">
        <v>997</v>
      </c>
      <c r="G838">
        <v>7</v>
      </c>
      <c r="H838">
        <v>100</v>
      </c>
      <c r="I838" t="s">
        <v>1001</v>
      </c>
      <c r="J838">
        <f>Table1[[#This Row],[Quantity]]*Table1[[#This Row],[Price]]*(1-Table1[[#This Row],[Discount]])</f>
        <v>700</v>
      </c>
      <c r="K838">
        <f>VALUE(SUBSTITUTE(Table1[[#This Row],[Discount]],"%",""))/100</f>
        <v>0</v>
      </c>
    </row>
    <row r="839" spans="1:11" x14ac:dyDescent="0.35">
      <c r="A839">
        <v>1837</v>
      </c>
      <c r="B839" s="1">
        <v>45753</v>
      </c>
      <c r="C839" t="s">
        <v>825</v>
      </c>
      <c r="D839" t="s">
        <v>981</v>
      </c>
      <c r="E839" t="s">
        <v>994</v>
      </c>
      <c r="F839" t="s">
        <v>997</v>
      </c>
      <c r="G839">
        <v>10</v>
      </c>
      <c r="H839">
        <v>4500</v>
      </c>
      <c r="I839" t="s">
        <v>1004</v>
      </c>
      <c r="J839">
        <f>Table1[[#This Row],[Quantity]]*Table1[[#This Row],[Price]]*(1-Table1[[#This Row],[Discount]])</f>
        <v>40500</v>
      </c>
      <c r="K839">
        <f>VALUE(SUBSTITUTE(Table1[[#This Row],[Discount]],"%",""))/100</f>
        <v>0.1</v>
      </c>
    </row>
    <row r="840" spans="1:11" x14ac:dyDescent="0.35">
      <c r="A840">
        <v>1838</v>
      </c>
      <c r="B840" s="1">
        <v>45811</v>
      </c>
      <c r="C840" t="s">
        <v>1005</v>
      </c>
      <c r="D840" t="s">
        <v>978</v>
      </c>
      <c r="E840" t="s">
        <v>987</v>
      </c>
      <c r="F840" t="s">
        <v>999</v>
      </c>
      <c r="G840">
        <v>3</v>
      </c>
      <c r="H840">
        <v>300</v>
      </c>
      <c r="I840" t="s">
        <v>1001</v>
      </c>
      <c r="J840">
        <f>Table1[[#This Row],[Quantity]]*Table1[[#This Row],[Price]]*(1-Table1[[#This Row],[Discount]])</f>
        <v>900</v>
      </c>
      <c r="K840">
        <f>VALUE(SUBSTITUTE(Table1[[#This Row],[Discount]],"%",""))/100</f>
        <v>0</v>
      </c>
    </row>
    <row r="841" spans="1:11" x14ac:dyDescent="0.35">
      <c r="A841">
        <v>1839</v>
      </c>
      <c r="B841" s="1">
        <v>45541</v>
      </c>
      <c r="C841" t="s">
        <v>826</v>
      </c>
      <c r="D841" t="s">
        <v>980</v>
      </c>
      <c r="E841" t="s">
        <v>990</v>
      </c>
      <c r="F841" t="s">
        <v>998</v>
      </c>
      <c r="G841">
        <v>8</v>
      </c>
      <c r="H841">
        <v>300</v>
      </c>
      <c r="I841" t="s">
        <v>1000</v>
      </c>
      <c r="J841">
        <f>Table1[[#This Row],[Quantity]]*Table1[[#This Row],[Price]]*(1-Table1[[#This Row],[Discount]])</f>
        <v>2280</v>
      </c>
      <c r="K841">
        <f>VALUE(SUBSTITUTE(Table1[[#This Row],[Discount]],"%",""))/100</f>
        <v>0.05</v>
      </c>
    </row>
    <row r="842" spans="1:11" x14ac:dyDescent="0.35">
      <c r="A842">
        <v>1840</v>
      </c>
      <c r="B842" s="1">
        <v>45785</v>
      </c>
      <c r="C842" t="s">
        <v>827</v>
      </c>
      <c r="E842" t="s">
        <v>985</v>
      </c>
      <c r="F842" t="s">
        <v>998</v>
      </c>
      <c r="G842">
        <v>8</v>
      </c>
      <c r="H842">
        <v>300</v>
      </c>
      <c r="I842" t="s">
        <v>1003</v>
      </c>
      <c r="J842">
        <f>Table1[[#This Row],[Quantity]]*Table1[[#This Row],[Price]]*(1-Table1[[#This Row],[Discount]])</f>
        <v>2040</v>
      </c>
      <c r="K842">
        <f>VALUE(SUBSTITUTE(Table1[[#This Row],[Discount]],"%",""))/100</f>
        <v>0.15</v>
      </c>
    </row>
    <row r="843" spans="1:11" x14ac:dyDescent="0.35">
      <c r="A843">
        <v>1841</v>
      </c>
      <c r="B843" s="1">
        <v>45632</v>
      </c>
      <c r="C843" t="s">
        <v>828</v>
      </c>
      <c r="D843" t="s">
        <v>980</v>
      </c>
      <c r="E843" t="s">
        <v>994</v>
      </c>
      <c r="F843" t="s">
        <v>997</v>
      </c>
      <c r="G843">
        <v>8</v>
      </c>
      <c r="H843">
        <v>4500</v>
      </c>
      <c r="I843" t="s">
        <v>1001</v>
      </c>
      <c r="J843">
        <f>Table1[[#This Row],[Quantity]]*Table1[[#This Row],[Price]]*(1-Table1[[#This Row],[Discount]])</f>
        <v>36000</v>
      </c>
      <c r="K843">
        <f>VALUE(SUBSTITUTE(Table1[[#This Row],[Discount]],"%",""))/100</f>
        <v>0</v>
      </c>
    </row>
    <row r="844" spans="1:11" x14ac:dyDescent="0.35">
      <c r="A844">
        <v>1842</v>
      </c>
      <c r="B844" s="1">
        <v>45513</v>
      </c>
      <c r="C844" t="s">
        <v>829</v>
      </c>
      <c r="D844" t="s">
        <v>980</v>
      </c>
      <c r="E844" t="s">
        <v>987</v>
      </c>
      <c r="F844" t="s">
        <v>999</v>
      </c>
      <c r="G844">
        <v>6</v>
      </c>
      <c r="H844">
        <v>100</v>
      </c>
      <c r="I844" t="s">
        <v>1001</v>
      </c>
      <c r="J844">
        <f>Table1[[#This Row],[Quantity]]*Table1[[#This Row],[Price]]*(1-Table1[[#This Row],[Discount]])</f>
        <v>600</v>
      </c>
      <c r="K844">
        <f>VALUE(SUBSTITUTE(Table1[[#This Row],[Discount]],"%",""))/100</f>
        <v>0</v>
      </c>
    </row>
    <row r="845" spans="1:11" x14ac:dyDescent="0.35">
      <c r="A845">
        <v>1843</v>
      </c>
      <c r="B845" s="1">
        <v>45669</v>
      </c>
      <c r="C845" t="s">
        <v>830</v>
      </c>
      <c r="D845" t="s">
        <v>980</v>
      </c>
      <c r="E845" t="s">
        <v>995</v>
      </c>
      <c r="F845" t="s">
        <v>997</v>
      </c>
      <c r="G845">
        <v>5</v>
      </c>
      <c r="H845">
        <v>100</v>
      </c>
      <c r="I845" t="s">
        <v>1003</v>
      </c>
      <c r="J845">
        <f>Table1[[#This Row],[Quantity]]*Table1[[#This Row],[Price]]*(1-Table1[[#This Row],[Discount]])</f>
        <v>425</v>
      </c>
      <c r="K845">
        <f>VALUE(SUBSTITUTE(Table1[[#This Row],[Discount]],"%",""))/100</f>
        <v>0.15</v>
      </c>
    </row>
    <row r="846" spans="1:11" x14ac:dyDescent="0.35">
      <c r="A846">
        <v>1844</v>
      </c>
      <c r="B846" s="1">
        <v>45574</v>
      </c>
      <c r="C846" t="s">
        <v>831</v>
      </c>
      <c r="D846" t="s">
        <v>979</v>
      </c>
      <c r="E846" t="s">
        <v>994</v>
      </c>
      <c r="F846" t="s">
        <v>997</v>
      </c>
      <c r="G846">
        <v>4</v>
      </c>
      <c r="H846">
        <v>100</v>
      </c>
      <c r="I846" t="s">
        <v>1002</v>
      </c>
      <c r="J846">
        <f>Table1[[#This Row],[Quantity]]*Table1[[#This Row],[Price]]*(1-Table1[[#This Row],[Discount]])</f>
        <v>320</v>
      </c>
      <c r="K846">
        <f>VALUE(SUBSTITUTE(Table1[[#This Row],[Discount]],"%",""))/100</f>
        <v>0.2</v>
      </c>
    </row>
    <row r="847" spans="1:11" x14ac:dyDescent="0.35">
      <c r="A847">
        <v>1845</v>
      </c>
      <c r="B847" s="1">
        <v>45710</v>
      </c>
      <c r="C847" t="s">
        <v>832</v>
      </c>
      <c r="D847" t="s">
        <v>981</v>
      </c>
      <c r="E847" t="s">
        <v>994</v>
      </c>
      <c r="F847" t="s">
        <v>997</v>
      </c>
      <c r="G847">
        <v>8</v>
      </c>
      <c r="H847">
        <v>250</v>
      </c>
      <c r="I847" t="s">
        <v>1003</v>
      </c>
      <c r="J847">
        <f>Table1[[#This Row],[Quantity]]*Table1[[#This Row],[Price]]*(1-Table1[[#This Row],[Discount]])</f>
        <v>1700</v>
      </c>
      <c r="K847">
        <f>VALUE(SUBSTITUTE(Table1[[#This Row],[Discount]],"%",""))/100</f>
        <v>0.15</v>
      </c>
    </row>
    <row r="848" spans="1:11" x14ac:dyDescent="0.35">
      <c r="A848">
        <v>1846</v>
      </c>
      <c r="B848" s="1">
        <v>45520</v>
      </c>
      <c r="C848" t="s">
        <v>833</v>
      </c>
      <c r="D848" t="s">
        <v>978</v>
      </c>
      <c r="E848" t="s">
        <v>983</v>
      </c>
      <c r="F848" t="s">
        <v>997</v>
      </c>
      <c r="G848">
        <v>8</v>
      </c>
      <c r="H848">
        <v>1500</v>
      </c>
      <c r="I848" t="s">
        <v>1003</v>
      </c>
      <c r="J848">
        <f>Table1[[#This Row],[Quantity]]*Table1[[#This Row],[Price]]*(1-Table1[[#This Row],[Discount]])</f>
        <v>10200</v>
      </c>
      <c r="K848">
        <f>VALUE(SUBSTITUTE(Table1[[#This Row],[Discount]],"%",""))/100</f>
        <v>0.15</v>
      </c>
    </row>
    <row r="849" spans="1:11" x14ac:dyDescent="0.35">
      <c r="A849">
        <v>1847</v>
      </c>
      <c r="B849" s="1">
        <v>45522</v>
      </c>
      <c r="C849" t="s">
        <v>834</v>
      </c>
      <c r="D849" t="s">
        <v>980</v>
      </c>
      <c r="E849" t="s">
        <v>994</v>
      </c>
      <c r="F849" t="s">
        <v>997</v>
      </c>
      <c r="G849">
        <v>3</v>
      </c>
      <c r="H849">
        <v>1000</v>
      </c>
      <c r="I849" t="s">
        <v>1003</v>
      </c>
      <c r="J849">
        <f>Table1[[#This Row],[Quantity]]*Table1[[#This Row],[Price]]*(1-Table1[[#This Row],[Discount]])</f>
        <v>2550</v>
      </c>
      <c r="K849">
        <f>VALUE(SUBSTITUTE(Table1[[#This Row],[Discount]],"%",""))/100</f>
        <v>0.15</v>
      </c>
    </row>
    <row r="850" spans="1:11" x14ac:dyDescent="0.35">
      <c r="A850">
        <v>1848</v>
      </c>
      <c r="B850" s="1">
        <v>45758</v>
      </c>
      <c r="C850" t="s">
        <v>835</v>
      </c>
      <c r="D850" t="s">
        <v>979</v>
      </c>
      <c r="E850" t="s">
        <v>988</v>
      </c>
      <c r="F850" t="s">
        <v>999</v>
      </c>
      <c r="G850">
        <v>10</v>
      </c>
      <c r="H850">
        <v>500</v>
      </c>
      <c r="I850" t="s">
        <v>1004</v>
      </c>
      <c r="J850">
        <f>Table1[[#This Row],[Quantity]]*Table1[[#This Row],[Price]]*(1-Table1[[#This Row],[Discount]])</f>
        <v>4500</v>
      </c>
      <c r="K850">
        <f>VALUE(SUBSTITUTE(Table1[[#This Row],[Discount]],"%",""))/100</f>
        <v>0.1</v>
      </c>
    </row>
    <row r="851" spans="1:11" x14ac:dyDescent="0.35">
      <c r="A851">
        <v>1849</v>
      </c>
      <c r="B851" s="1">
        <v>45581</v>
      </c>
      <c r="C851" t="s">
        <v>836</v>
      </c>
      <c r="D851" t="s">
        <v>981</v>
      </c>
      <c r="E851" t="s">
        <v>994</v>
      </c>
      <c r="F851" t="s">
        <v>997</v>
      </c>
      <c r="G851">
        <v>2</v>
      </c>
      <c r="H851">
        <v>2500</v>
      </c>
      <c r="I851" t="s">
        <v>1003</v>
      </c>
      <c r="J851">
        <f>Table1[[#This Row],[Quantity]]*Table1[[#This Row],[Price]]*(1-Table1[[#This Row],[Discount]])</f>
        <v>4250</v>
      </c>
      <c r="K851">
        <f>VALUE(SUBSTITUTE(Table1[[#This Row],[Discount]],"%",""))/100</f>
        <v>0.15</v>
      </c>
    </row>
    <row r="852" spans="1:11" x14ac:dyDescent="0.35">
      <c r="A852">
        <v>1850</v>
      </c>
      <c r="B852" s="1">
        <v>45828</v>
      </c>
      <c r="C852" t="s">
        <v>837</v>
      </c>
      <c r="D852" t="s">
        <v>979</v>
      </c>
      <c r="E852" t="s">
        <v>993</v>
      </c>
      <c r="F852" t="s">
        <v>999</v>
      </c>
      <c r="G852">
        <v>6</v>
      </c>
      <c r="H852">
        <v>300</v>
      </c>
      <c r="I852" t="s">
        <v>1000</v>
      </c>
      <c r="J852">
        <f>Table1[[#This Row],[Quantity]]*Table1[[#This Row],[Price]]*(1-Table1[[#This Row],[Discount]])</f>
        <v>1710</v>
      </c>
      <c r="K852">
        <f>VALUE(SUBSTITUTE(Table1[[#This Row],[Discount]],"%",""))/100</f>
        <v>0.05</v>
      </c>
    </row>
    <row r="853" spans="1:11" x14ac:dyDescent="0.35">
      <c r="A853">
        <v>1851</v>
      </c>
      <c r="B853" s="1">
        <v>45848</v>
      </c>
      <c r="C853" t="s">
        <v>838</v>
      </c>
      <c r="D853" t="s">
        <v>981</v>
      </c>
      <c r="E853" t="s">
        <v>992</v>
      </c>
      <c r="F853" t="s">
        <v>998</v>
      </c>
      <c r="G853">
        <v>9</v>
      </c>
      <c r="H853">
        <v>500</v>
      </c>
      <c r="I853" t="s">
        <v>1003</v>
      </c>
      <c r="J853">
        <f>Table1[[#This Row],[Quantity]]*Table1[[#This Row],[Price]]*(1-Table1[[#This Row],[Discount]])</f>
        <v>3825</v>
      </c>
      <c r="K853">
        <f>VALUE(SUBSTITUTE(Table1[[#This Row],[Discount]],"%",""))/100</f>
        <v>0.15</v>
      </c>
    </row>
    <row r="854" spans="1:11" x14ac:dyDescent="0.35">
      <c r="A854">
        <v>1852</v>
      </c>
      <c r="B854" s="1">
        <v>45572</v>
      </c>
      <c r="C854" t="s">
        <v>839</v>
      </c>
      <c r="D854" t="s">
        <v>980</v>
      </c>
      <c r="E854" t="s">
        <v>986</v>
      </c>
      <c r="F854" t="s">
        <v>997</v>
      </c>
      <c r="G854">
        <v>3</v>
      </c>
      <c r="H854">
        <v>250</v>
      </c>
      <c r="I854" t="s">
        <v>1001</v>
      </c>
      <c r="J854">
        <f>Table1[[#This Row],[Quantity]]*Table1[[#This Row],[Price]]*(1-Table1[[#This Row],[Discount]])</f>
        <v>750</v>
      </c>
      <c r="K854">
        <f>VALUE(SUBSTITUTE(Table1[[#This Row],[Discount]],"%",""))/100</f>
        <v>0</v>
      </c>
    </row>
    <row r="855" spans="1:11" x14ac:dyDescent="0.35">
      <c r="A855">
        <v>1853</v>
      </c>
      <c r="B855" s="1">
        <v>45518</v>
      </c>
      <c r="C855" t="s">
        <v>840</v>
      </c>
      <c r="D855" t="s">
        <v>979</v>
      </c>
      <c r="E855" t="s">
        <v>991</v>
      </c>
      <c r="F855" t="s">
        <v>998</v>
      </c>
      <c r="G855">
        <v>10</v>
      </c>
      <c r="H855">
        <v>250</v>
      </c>
      <c r="I855" t="s">
        <v>1002</v>
      </c>
      <c r="J855">
        <f>Table1[[#This Row],[Quantity]]*Table1[[#This Row],[Price]]*(1-Table1[[#This Row],[Discount]])</f>
        <v>2000</v>
      </c>
      <c r="K855">
        <f>VALUE(SUBSTITUTE(Table1[[#This Row],[Discount]],"%",""))/100</f>
        <v>0.2</v>
      </c>
    </row>
    <row r="856" spans="1:11" x14ac:dyDescent="0.35">
      <c r="A856">
        <v>1854</v>
      </c>
      <c r="B856" s="1">
        <v>45605</v>
      </c>
      <c r="C856" t="s">
        <v>841</v>
      </c>
      <c r="D856" t="s">
        <v>980</v>
      </c>
      <c r="E856" t="s">
        <v>985</v>
      </c>
      <c r="F856" t="s">
        <v>998</v>
      </c>
      <c r="G856">
        <v>3</v>
      </c>
      <c r="H856">
        <v>1000</v>
      </c>
      <c r="I856" t="s">
        <v>1003</v>
      </c>
      <c r="J856">
        <f>Table1[[#This Row],[Quantity]]*Table1[[#This Row],[Price]]*(1-Table1[[#This Row],[Discount]])</f>
        <v>2550</v>
      </c>
      <c r="K856">
        <f>VALUE(SUBSTITUTE(Table1[[#This Row],[Discount]],"%",""))/100</f>
        <v>0.15</v>
      </c>
    </row>
    <row r="857" spans="1:11" x14ac:dyDescent="0.35">
      <c r="A857">
        <v>1855</v>
      </c>
      <c r="B857" s="1">
        <v>45538</v>
      </c>
      <c r="C857" t="s">
        <v>1005</v>
      </c>
      <c r="D857" t="s">
        <v>980</v>
      </c>
      <c r="E857" t="s">
        <v>988</v>
      </c>
      <c r="F857" t="s">
        <v>999</v>
      </c>
      <c r="G857">
        <v>2</v>
      </c>
      <c r="H857">
        <v>500</v>
      </c>
      <c r="I857" t="s">
        <v>1003</v>
      </c>
      <c r="J857">
        <f>Table1[[#This Row],[Quantity]]*Table1[[#This Row],[Price]]*(1-Table1[[#This Row],[Discount]])</f>
        <v>850</v>
      </c>
      <c r="K857">
        <f>VALUE(SUBSTITUTE(Table1[[#This Row],[Discount]],"%",""))/100</f>
        <v>0.15</v>
      </c>
    </row>
    <row r="858" spans="1:11" x14ac:dyDescent="0.35">
      <c r="A858">
        <v>1856</v>
      </c>
      <c r="B858" s="1">
        <v>45794</v>
      </c>
      <c r="C858" t="s">
        <v>842</v>
      </c>
      <c r="D858" t="s">
        <v>981</v>
      </c>
      <c r="E858" t="s">
        <v>993</v>
      </c>
      <c r="F858" t="s">
        <v>999</v>
      </c>
      <c r="G858">
        <v>5</v>
      </c>
      <c r="H858">
        <v>300</v>
      </c>
      <c r="I858" t="s">
        <v>1001</v>
      </c>
      <c r="J858">
        <f>Table1[[#This Row],[Quantity]]*Table1[[#This Row],[Price]]*(1-Table1[[#This Row],[Discount]])</f>
        <v>1500</v>
      </c>
      <c r="K858">
        <f>VALUE(SUBSTITUTE(Table1[[#This Row],[Discount]],"%",""))/100</f>
        <v>0</v>
      </c>
    </row>
    <row r="859" spans="1:11" x14ac:dyDescent="0.35">
      <c r="A859">
        <v>1857</v>
      </c>
      <c r="B859" s="1">
        <v>45818</v>
      </c>
      <c r="C859" t="s">
        <v>843</v>
      </c>
      <c r="D859" t="s">
        <v>978</v>
      </c>
      <c r="E859" t="s">
        <v>983</v>
      </c>
      <c r="F859" t="s">
        <v>997</v>
      </c>
      <c r="G859">
        <v>3</v>
      </c>
      <c r="H859">
        <v>2500</v>
      </c>
      <c r="I859" t="s">
        <v>1000</v>
      </c>
      <c r="J859">
        <f>Table1[[#This Row],[Quantity]]*Table1[[#This Row],[Price]]*(1-Table1[[#This Row],[Discount]])</f>
        <v>7125</v>
      </c>
      <c r="K859">
        <f>VALUE(SUBSTITUTE(Table1[[#This Row],[Discount]],"%",""))/100</f>
        <v>0.05</v>
      </c>
    </row>
    <row r="860" spans="1:11" x14ac:dyDescent="0.35">
      <c r="A860">
        <v>1858</v>
      </c>
      <c r="B860" s="1">
        <v>45864</v>
      </c>
      <c r="C860" t="s">
        <v>844</v>
      </c>
      <c r="D860" t="s">
        <v>978</v>
      </c>
      <c r="E860" t="s">
        <v>989</v>
      </c>
      <c r="F860" t="s">
        <v>999</v>
      </c>
      <c r="G860">
        <v>6</v>
      </c>
      <c r="H860">
        <v>100</v>
      </c>
      <c r="I860" t="s">
        <v>1003</v>
      </c>
      <c r="J860">
        <f>Table1[[#This Row],[Quantity]]*Table1[[#This Row],[Price]]*(1-Table1[[#This Row],[Discount]])</f>
        <v>510</v>
      </c>
      <c r="K860">
        <f>VALUE(SUBSTITUTE(Table1[[#This Row],[Discount]],"%",""))/100</f>
        <v>0.15</v>
      </c>
    </row>
    <row r="861" spans="1:11" x14ac:dyDescent="0.35">
      <c r="A861">
        <v>1859</v>
      </c>
      <c r="B861" s="1">
        <v>45531</v>
      </c>
      <c r="C861" t="s">
        <v>845</v>
      </c>
      <c r="D861" t="s">
        <v>978</v>
      </c>
      <c r="E861" t="s">
        <v>992</v>
      </c>
      <c r="F861" t="s">
        <v>998</v>
      </c>
      <c r="G861">
        <v>6</v>
      </c>
      <c r="H861">
        <v>1500</v>
      </c>
      <c r="I861" t="s">
        <v>1003</v>
      </c>
      <c r="J861">
        <f>Table1[[#This Row],[Quantity]]*Table1[[#This Row],[Price]]*(1-Table1[[#This Row],[Discount]])</f>
        <v>7650</v>
      </c>
      <c r="K861">
        <f>VALUE(SUBSTITUTE(Table1[[#This Row],[Discount]],"%",""))/100</f>
        <v>0.15</v>
      </c>
    </row>
    <row r="862" spans="1:11" x14ac:dyDescent="0.35">
      <c r="A862">
        <v>1860</v>
      </c>
      <c r="B862" s="1">
        <v>45722</v>
      </c>
      <c r="C862" t="s">
        <v>846</v>
      </c>
      <c r="D862" t="s">
        <v>981</v>
      </c>
      <c r="E862" t="s">
        <v>983</v>
      </c>
      <c r="F862" t="s">
        <v>997</v>
      </c>
      <c r="G862">
        <v>10</v>
      </c>
      <c r="H862">
        <v>100</v>
      </c>
      <c r="I862" t="s">
        <v>1002</v>
      </c>
      <c r="J862">
        <f>Table1[[#This Row],[Quantity]]*Table1[[#This Row],[Price]]*(1-Table1[[#This Row],[Discount]])</f>
        <v>800</v>
      </c>
      <c r="K862">
        <f>VALUE(SUBSTITUTE(Table1[[#This Row],[Discount]],"%",""))/100</f>
        <v>0.2</v>
      </c>
    </row>
    <row r="863" spans="1:11" x14ac:dyDescent="0.35">
      <c r="A863">
        <v>1861</v>
      </c>
      <c r="B863" s="1">
        <v>45741</v>
      </c>
      <c r="C863" t="s">
        <v>847</v>
      </c>
      <c r="D863" t="s">
        <v>978</v>
      </c>
      <c r="E863" t="s">
        <v>993</v>
      </c>
      <c r="F863" t="s">
        <v>999</v>
      </c>
      <c r="G863">
        <v>6</v>
      </c>
      <c r="H863">
        <v>100</v>
      </c>
      <c r="I863" t="s">
        <v>1004</v>
      </c>
      <c r="J863">
        <f>Table1[[#This Row],[Quantity]]*Table1[[#This Row],[Price]]*(1-Table1[[#This Row],[Discount]])</f>
        <v>540</v>
      </c>
      <c r="K863">
        <f>VALUE(SUBSTITUTE(Table1[[#This Row],[Discount]],"%",""))/100</f>
        <v>0.1</v>
      </c>
    </row>
    <row r="864" spans="1:11" x14ac:dyDescent="0.35">
      <c r="A864">
        <v>1862</v>
      </c>
      <c r="B864" s="1">
        <v>45565</v>
      </c>
      <c r="C864" t="s">
        <v>848</v>
      </c>
      <c r="D864" t="s">
        <v>980</v>
      </c>
      <c r="E864" t="s">
        <v>995</v>
      </c>
      <c r="F864" t="s">
        <v>997</v>
      </c>
      <c r="G864">
        <v>10</v>
      </c>
      <c r="H864">
        <v>4500</v>
      </c>
      <c r="I864" t="s">
        <v>1004</v>
      </c>
      <c r="J864">
        <f>Table1[[#This Row],[Quantity]]*Table1[[#This Row],[Price]]*(1-Table1[[#This Row],[Discount]])</f>
        <v>40500</v>
      </c>
      <c r="K864">
        <f>VALUE(SUBSTITUTE(Table1[[#This Row],[Discount]],"%",""))/100</f>
        <v>0.1</v>
      </c>
    </row>
    <row r="865" spans="1:11" x14ac:dyDescent="0.35">
      <c r="A865">
        <v>1863</v>
      </c>
      <c r="B865" s="1">
        <v>45665</v>
      </c>
      <c r="C865" t="s">
        <v>655</v>
      </c>
      <c r="D865" t="s">
        <v>981</v>
      </c>
      <c r="E865" t="s">
        <v>986</v>
      </c>
      <c r="F865" t="s">
        <v>997</v>
      </c>
      <c r="G865">
        <v>7</v>
      </c>
      <c r="H865">
        <v>300</v>
      </c>
      <c r="I865" t="s">
        <v>1002</v>
      </c>
      <c r="J865">
        <f>Table1[[#This Row],[Quantity]]*Table1[[#This Row],[Price]]*(1-Table1[[#This Row],[Discount]])</f>
        <v>1680</v>
      </c>
      <c r="K865">
        <f>VALUE(SUBSTITUTE(Table1[[#This Row],[Discount]],"%",""))/100</f>
        <v>0.2</v>
      </c>
    </row>
    <row r="866" spans="1:11" x14ac:dyDescent="0.35">
      <c r="A866">
        <v>1864</v>
      </c>
      <c r="B866" s="1">
        <v>45820</v>
      </c>
      <c r="C866" t="s">
        <v>849</v>
      </c>
      <c r="D866" t="s">
        <v>981</v>
      </c>
      <c r="E866" t="s">
        <v>988</v>
      </c>
      <c r="F866" t="s">
        <v>999</v>
      </c>
      <c r="G866">
        <v>1</v>
      </c>
      <c r="H866">
        <v>100</v>
      </c>
      <c r="I866" t="s">
        <v>1002</v>
      </c>
      <c r="J866">
        <f>Table1[[#This Row],[Quantity]]*Table1[[#This Row],[Price]]*(1-Table1[[#This Row],[Discount]])</f>
        <v>80</v>
      </c>
      <c r="K866">
        <f>VALUE(SUBSTITUTE(Table1[[#This Row],[Discount]],"%",""))/100</f>
        <v>0.2</v>
      </c>
    </row>
    <row r="867" spans="1:11" x14ac:dyDescent="0.35">
      <c r="A867">
        <v>1865</v>
      </c>
      <c r="B867" s="1">
        <v>45854</v>
      </c>
      <c r="C867" t="s">
        <v>850</v>
      </c>
      <c r="D867" t="s">
        <v>981</v>
      </c>
      <c r="E867" t="s">
        <v>982</v>
      </c>
      <c r="F867" t="s">
        <v>997</v>
      </c>
      <c r="G867">
        <v>1</v>
      </c>
      <c r="H867">
        <v>1500</v>
      </c>
      <c r="I867" t="s">
        <v>1004</v>
      </c>
      <c r="J867">
        <f>Table1[[#This Row],[Quantity]]*Table1[[#This Row],[Price]]*(1-Table1[[#This Row],[Discount]])</f>
        <v>1350</v>
      </c>
      <c r="K867">
        <f>VALUE(SUBSTITUTE(Table1[[#This Row],[Discount]],"%",""))/100</f>
        <v>0.1</v>
      </c>
    </row>
    <row r="868" spans="1:11" x14ac:dyDescent="0.35">
      <c r="A868">
        <v>1866</v>
      </c>
      <c r="B868" s="1">
        <v>45717</v>
      </c>
      <c r="C868" t="s">
        <v>851</v>
      </c>
      <c r="D868" t="s">
        <v>981</v>
      </c>
      <c r="E868" t="s">
        <v>993</v>
      </c>
      <c r="F868" t="s">
        <v>999</v>
      </c>
      <c r="G868">
        <v>10</v>
      </c>
      <c r="H868">
        <v>100</v>
      </c>
      <c r="I868" t="s">
        <v>1003</v>
      </c>
      <c r="J868">
        <f>Table1[[#This Row],[Quantity]]*Table1[[#This Row],[Price]]*(1-Table1[[#This Row],[Discount]])</f>
        <v>850</v>
      </c>
      <c r="K868">
        <f>VALUE(SUBSTITUTE(Table1[[#This Row],[Discount]],"%",""))/100</f>
        <v>0.15</v>
      </c>
    </row>
    <row r="869" spans="1:11" x14ac:dyDescent="0.35">
      <c r="A869">
        <v>1867</v>
      </c>
      <c r="B869" s="1">
        <v>45678</v>
      </c>
      <c r="C869" t="s">
        <v>852</v>
      </c>
      <c r="D869" t="s">
        <v>981</v>
      </c>
      <c r="E869" t="s">
        <v>995</v>
      </c>
      <c r="F869" t="s">
        <v>997</v>
      </c>
      <c r="G869">
        <v>10</v>
      </c>
      <c r="H869">
        <v>500</v>
      </c>
      <c r="I869" t="s">
        <v>1004</v>
      </c>
      <c r="J869">
        <f>Table1[[#This Row],[Quantity]]*Table1[[#This Row],[Price]]*(1-Table1[[#This Row],[Discount]])</f>
        <v>4500</v>
      </c>
      <c r="K869">
        <f>VALUE(SUBSTITUTE(Table1[[#This Row],[Discount]],"%",""))/100</f>
        <v>0.1</v>
      </c>
    </row>
    <row r="870" spans="1:11" x14ac:dyDescent="0.35">
      <c r="A870">
        <v>1868</v>
      </c>
      <c r="B870" s="1">
        <v>45729</v>
      </c>
      <c r="C870" t="s">
        <v>853</v>
      </c>
      <c r="D870" t="s">
        <v>981</v>
      </c>
      <c r="E870" t="s">
        <v>983</v>
      </c>
      <c r="F870" t="s">
        <v>997</v>
      </c>
      <c r="G870">
        <v>7</v>
      </c>
      <c r="H870">
        <v>500</v>
      </c>
      <c r="I870" t="s">
        <v>1001</v>
      </c>
      <c r="J870">
        <f>Table1[[#This Row],[Quantity]]*Table1[[#This Row],[Price]]*(1-Table1[[#This Row],[Discount]])</f>
        <v>3500</v>
      </c>
      <c r="K870">
        <f>VALUE(SUBSTITUTE(Table1[[#This Row],[Discount]],"%",""))/100</f>
        <v>0</v>
      </c>
    </row>
    <row r="871" spans="1:11" x14ac:dyDescent="0.35">
      <c r="A871">
        <v>1869</v>
      </c>
      <c r="B871" s="1">
        <v>45558</v>
      </c>
      <c r="C871" t="s">
        <v>854</v>
      </c>
      <c r="D871" t="s">
        <v>979</v>
      </c>
      <c r="E871" t="s">
        <v>987</v>
      </c>
      <c r="F871" t="s">
        <v>999</v>
      </c>
      <c r="G871">
        <v>3</v>
      </c>
      <c r="H871">
        <v>2500</v>
      </c>
      <c r="I871" t="s">
        <v>1003</v>
      </c>
      <c r="J871">
        <f>Table1[[#This Row],[Quantity]]*Table1[[#This Row],[Price]]*(1-Table1[[#This Row],[Discount]])</f>
        <v>6375</v>
      </c>
      <c r="K871">
        <f>VALUE(SUBSTITUTE(Table1[[#This Row],[Discount]],"%",""))/100</f>
        <v>0.15</v>
      </c>
    </row>
    <row r="872" spans="1:11" x14ac:dyDescent="0.35">
      <c r="A872">
        <v>1870</v>
      </c>
      <c r="B872" s="1">
        <v>45539</v>
      </c>
      <c r="C872" t="s">
        <v>855</v>
      </c>
      <c r="D872" t="s">
        <v>980</v>
      </c>
      <c r="E872" t="s">
        <v>984</v>
      </c>
      <c r="F872" t="s">
        <v>998</v>
      </c>
      <c r="G872">
        <v>2</v>
      </c>
      <c r="H872">
        <v>1500</v>
      </c>
      <c r="I872" t="s">
        <v>1002</v>
      </c>
      <c r="J872">
        <f>Table1[[#This Row],[Quantity]]*Table1[[#This Row],[Price]]*(1-Table1[[#This Row],[Discount]])</f>
        <v>2400</v>
      </c>
      <c r="K872">
        <f>VALUE(SUBSTITUTE(Table1[[#This Row],[Discount]],"%",""))/100</f>
        <v>0.2</v>
      </c>
    </row>
    <row r="873" spans="1:11" x14ac:dyDescent="0.35">
      <c r="A873">
        <v>1871</v>
      </c>
      <c r="B873" s="1">
        <v>45612</v>
      </c>
      <c r="C873" t="s">
        <v>856</v>
      </c>
      <c r="D873" t="s">
        <v>980</v>
      </c>
      <c r="E873" t="s">
        <v>989</v>
      </c>
      <c r="F873" t="s">
        <v>999</v>
      </c>
      <c r="G873">
        <v>8</v>
      </c>
      <c r="H873">
        <v>2500</v>
      </c>
      <c r="I873" t="s">
        <v>1003</v>
      </c>
      <c r="J873">
        <f>Table1[[#This Row],[Quantity]]*Table1[[#This Row],[Price]]*(1-Table1[[#This Row],[Discount]])</f>
        <v>17000</v>
      </c>
      <c r="K873">
        <f>VALUE(SUBSTITUTE(Table1[[#This Row],[Discount]],"%",""))/100</f>
        <v>0.15</v>
      </c>
    </row>
    <row r="874" spans="1:11" x14ac:dyDescent="0.35">
      <c r="A874">
        <v>1872</v>
      </c>
      <c r="B874" s="1">
        <v>45603</v>
      </c>
      <c r="C874" t="s">
        <v>857</v>
      </c>
      <c r="D874" t="s">
        <v>979</v>
      </c>
      <c r="E874" t="s">
        <v>983</v>
      </c>
      <c r="F874" t="s">
        <v>997</v>
      </c>
      <c r="G874">
        <v>8</v>
      </c>
      <c r="H874">
        <v>4500</v>
      </c>
      <c r="I874" t="s">
        <v>1000</v>
      </c>
      <c r="J874">
        <f>Table1[[#This Row],[Quantity]]*Table1[[#This Row],[Price]]*(1-Table1[[#This Row],[Discount]])</f>
        <v>34200</v>
      </c>
      <c r="K874">
        <f>VALUE(SUBSTITUTE(Table1[[#This Row],[Discount]],"%",""))/100</f>
        <v>0.05</v>
      </c>
    </row>
    <row r="875" spans="1:11" x14ac:dyDescent="0.35">
      <c r="A875">
        <v>1873</v>
      </c>
      <c r="B875" s="1">
        <v>45515</v>
      </c>
      <c r="C875" t="s">
        <v>858</v>
      </c>
      <c r="D875" t="s">
        <v>980</v>
      </c>
      <c r="E875" t="s">
        <v>991</v>
      </c>
      <c r="F875" t="s">
        <v>998</v>
      </c>
      <c r="G875">
        <v>6</v>
      </c>
      <c r="H875">
        <v>250</v>
      </c>
      <c r="I875" t="s">
        <v>1002</v>
      </c>
      <c r="J875">
        <f>Table1[[#This Row],[Quantity]]*Table1[[#This Row],[Price]]*(1-Table1[[#This Row],[Discount]])</f>
        <v>1200</v>
      </c>
      <c r="K875">
        <f>VALUE(SUBSTITUTE(Table1[[#This Row],[Discount]],"%",""))/100</f>
        <v>0.2</v>
      </c>
    </row>
    <row r="876" spans="1:11" x14ac:dyDescent="0.35">
      <c r="A876">
        <v>1874</v>
      </c>
      <c r="B876" s="1">
        <v>45765</v>
      </c>
      <c r="C876" t="s">
        <v>859</v>
      </c>
      <c r="D876" t="s">
        <v>981</v>
      </c>
      <c r="E876" t="s">
        <v>983</v>
      </c>
      <c r="F876" t="s">
        <v>997</v>
      </c>
      <c r="G876">
        <v>2</v>
      </c>
      <c r="H876">
        <v>1500</v>
      </c>
      <c r="I876" t="s">
        <v>1004</v>
      </c>
      <c r="J876">
        <f>Table1[[#This Row],[Quantity]]*Table1[[#This Row],[Price]]*(1-Table1[[#This Row],[Discount]])</f>
        <v>2700</v>
      </c>
      <c r="K876">
        <f>VALUE(SUBSTITUTE(Table1[[#This Row],[Discount]],"%",""))/100</f>
        <v>0.1</v>
      </c>
    </row>
    <row r="877" spans="1:11" x14ac:dyDescent="0.35">
      <c r="A877">
        <v>1875</v>
      </c>
      <c r="B877" s="1">
        <v>45629</v>
      </c>
      <c r="C877" t="s">
        <v>860</v>
      </c>
      <c r="D877" t="s">
        <v>981</v>
      </c>
      <c r="E877" t="s">
        <v>991</v>
      </c>
      <c r="F877" t="s">
        <v>998</v>
      </c>
      <c r="G877">
        <v>7</v>
      </c>
      <c r="H877">
        <v>100</v>
      </c>
      <c r="I877" t="s">
        <v>1004</v>
      </c>
      <c r="J877">
        <f>Table1[[#This Row],[Quantity]]*Table1[[#This Row],[Price]]*(1-Table1[[#This Row],[Discount]])</f>
        <v>630</v>
      </c>
      <c r="K877">
        <f>VALUE(SUBSTITUTE(Table1[[#This Row],[Discount]],"%",""))/100</f>
        <v>0.1</v>
      </c>
    </row>
    <row r="878" spans="1:11" x14ac:dyDescent="0.35">
      <c r="A878">
        <v>1876</v>
      </c>
      <c r="B878" s="1">
        <v>45605</v>
      </c>
      <c r="C878" t="s">
        <v>861</v>
      </c>
      <c r="D878" t="s">
        <v>980</v>
      </c>
      <c r="E878" t="s">
        <v>991</v>
      </c>
      <c r="F878" t="s">
        <v>998</v>
      </c>
      <c r="G878">
        <v>6</v>
      </c>
      <c r="H878">
        <v>250</v>
      </c>
      <c r="I878" t="s">
        <v>1001</v>
      </c>
      <c r="J878">
        <f>Table1[[#This Row],[Quantity]]*Table1[[#This Row],[Price]]*(1-Table1[[#This Row],[Discount]])</f>
        <v>1500</v>
      </c>
      <c r="K878">
        <f>VALUE(SUBSTITUTE(Table1[[#This Row],[Discount]],"%",""))/100</f>
        <v>0</v>
      </c>
    </row>
    <row r="879" spans="1:11" x14ac:dyDescent="0.35">
      <c r="A879">
        <v>1877</v>
      </c>
      <c r="B879" s="1">
        <v>45618</v>
      </c>
      <c r="C879" t="s">
        <v>862</v>
      </c>
      <c r="D879" t="s">
        <v>980</v>
      </c>
      <c r="E879" t="s">
        <v>996</v>
      </c>
      <c r="F879" t="s">
        <v>999</v>
      </c>
      <c r="G879">
        <v>8</v>
      </c>
      <c r="H879">
        <v>300</v>
      </c>
      <c r="I879" t="s">
        <v>1000</v>
      </c>
      <c r="J879">
        <f>Table1[[#This Row],[Quantity]]*Table1[[#This Row],[Price]]*(1-Table1[[#This Row],[Discount]])</f>
        <v>2280</v>
      </c>
      <c r="K879">
        <f>VALUE(SUBSTITUTE(Table1[[#This Row],[Discount]],"%",""))/100</f>
        <v>0.05</v>
      </c>
    </row>
    <row r="880" spans="1:11" x14ac:dyDescent="0.35">
      <c r="A880">
        <v>1878</v>
      </c>
      <c r="B880" s="1">
        <v>45766</v>
      </c>
      <c r="C880" t="s">
        <v>863</v>
      </c>
      <c r="D880" t="s">
        <v>978</v>
      </c>
      <c r="E880" t="s">
        <v>986</v>
      </c>
      <c r="F880" t="s">
        <v>997</v>
      </c>
      <c r="G880">
        <v>2</v>
      </c>
      <c r="H880">
        <v>2500</v>
      </c>
      <c r="I880" t="s">
        <v>1003</v>
      </c>
      <c r="J880">
        <f>Table1[[#This Row],[Quantity]]*Table1[[#This Row],[Price]]*(1-Table1[[#This Row],[Discount]])</f>
        <v>4250</v>
      </c>
      <c r="K880">
        <f>VALUE(SUBSTITUTE(Table1[[#This Row],[Discount]],"%",""))/100</f>
        <v>0.15</v>
      </c>
    </row>
    <row r="881" spans="1:11" x14ac:dyDescent="0.35">
      <c r="A881">
        <v>1879</v>
      </c>
      <c r="B881" s="1">
        <v>45789</v>
      </c>
      <c r="C881" t="s">
        <v>864</v>
      </c>
      <c r="D881" t="s">
        <v>979</v>
      </c>
      <c r="E881" t="s">
        <v>994</v>
      </c>
      <c r="F881" t="s">
        <v>997</v>
      </c>
      <c r="G881">
        <v>5</v>
      </c>
      <c r="H881">
        <v>250</v>
      </c>
      <c r="I881" t="s">
        <v>1000</v>
      </c>
      <c r="J881">
        <f>Table1[[#This Row],[Quantity]]*Table1[[#This Row],[Price]]*(1-Table1[[#This Row],[Discount]])</f>
        <v>1187.5</v>
      </c>
      <c r="K881">
        <f>VALUE(SUBSTITUTE(Table1[[#This Row],[Discount]],"%",""))/100</f>
        <v>0.05</v>
      </c>
    </row>
    <row r="882" spans="1:11" x14ac:dyDescent="0.35">
      <c r="A882">
        <v>1880</v>
      </c>
      <c r="B882" s="1">
        <v>45662</v>
      </c>
      <c r="C882" t="s">
        <v>865</v>
      </c>
      <c r="D882" t="s">
        <v>979</v>
      </c>
      <c r="E882" t="s">
        <v>982</v>
      </c>
      <c r="F882" t="s">
        <v>997</v>
      </c>
      <c r="G882">
        <v>9</v>
      </c>
      <c r="H882">
        <v>250</v>
      </c>
      <c r="I882" t="s">
        <v>1000</v>
      </c>
      <c r="J882">
        <f>Table1[[#This Row],[Quantity]]*Table1[[#This Row],[Price]]*(1-Table1[[#This Row],[Discount]])</f>
        <v>2137.5</v>
      </c>
      <c r="K882">
        <f>VALUE(SUBSTITUTE(Table1[[#This Row],[Discount]],"%",""))/100</f>
        <v>0.05</v>
      </c>
    </row>
    <row r="883" spans="1:11" x14ac:dyDescent="0.35">
      <c r="A883">
        <v>1881</v>
      </c>
      <c r="B883" s="1">
        <v>45855</v>
      </c>
      <c r="C883" t="s">
        <v>866</v>
      </c>
      <c r="D883" t="s">
        <v>981</v>
      </c>
      <c r="E883" t="s">
        <v>982</v>
      </c>
      <c r="F883" t="s">
        <v>997</v>
      </c>
      <c r="G883">
        <v>2</v>
      </c>
      <c r="H883">
        <v>300</v>
      </c>
      <c r="I883" t="s">
        <v>1001</v>
      </c>
      <c r="J883">
        <f>Table1[[#This Row],[Quantity]]*Table1[[#This Row],[Price]]*(1-Table1[[#This Row],[Discount]])</f>
        <v>600</v>
      </c>
      <c r="K883">
        <f>VALUE(SUBSTITUTE(Table1[[#This Row],[Discount]],"%",""))/100</f>
        <v>0</v>
      </c>
    </row>
    <row r="884" spans="1:11" x14ac:dyDescent="0.35">
      <c r="A884">
        <v>1882</v>
      </c>
      <c r="B884" s="1">
        <v>45837</v>
      </c>
      <c r="C884" t="s">
        <v>867</v>
      </c>
      <c r="D884" t="s">
        <v>979</v>
      </c>
      <c r="E884" t="s">
        <v>994</v>
      </c>
      <c r="F884" t="s">
        <v>997</v>
      </c>
      <c r="G884">
        <v>2</v>
      </c>
      <c r="H884">
        <v>1500</v>
      </c>
      <c r="I884" t="s">
        <v>1003</v>
      </c>
      <c r="J884">
        <f>Table1[[#This Row],[Quantity]]*Table1[[#This Row],[Price]]*(1-Table1[[#This Row],[Discount]])</f>
        <v>2550</v>
      </c>
      <c r="K884">
        <f>VALUE(SUBSTITUTE(Table1[[#This Row],[Discount]],"%",""))/100</f>
        <v>0.15</v>
      </c>
    </row>
    <row r="885" spans="1:11" x14ac:dyDescent="0.35">
      <c r="A885">
        <v>1883</v>
      </c>
      <c r="B885" s="1">
        <v>45526</v>
      </c>
      <c r="C885" t="s">
        <v>868</v>
      </c>
      <c r="D885" t="s">
        <v>981</v>
      </c>
      <c r="E885" t="s">
        <v>984</v>
      </c>
      <c r="F885" t="s">
        <v>998</v>
      </c>
      <c r="G885">
        <v>1</v>
      </c>
      <c r="H885">
        <v>1500</v>
      </c>
      <c r="I885" t="s">
        <v>1003</v>
      </c>
      <c r="J885">
        <f>Table1[[#This Row],[Quantity]]*Table1[[#This Row],[Price]]*(1-Table1[[#This Row],[Discount]])</f>
        <v>1275</v>
      </c>
      <c r="K885">
        <f>VALUE(SUBSTITUTE(Table1[[#This Row],[Discount]],"%",""))/100</f>
        <v>0.15</v>
      </c>
    </row>
    <row r="886" spans="1:11" x14ac:dyDescent="0.35">
      <c r="A886">
        <v>1884</v>
      </c>
      <c r="B886" s="1">
        <v>45831</v>
      </c>
      <c r="C886" t="s">
        <v>869</v>
      </c>
      <c r="D886" t="s">
        <v>978</v>
      </c>
      <c r="E886" t="s">
        <v>988</v>
      </c>
      <c r="F886" t="s">
        <v>999</v>
      </c>
      <c r="G886">
        <v>3</v>
      </c>
      <c r="H886">
        <v>1000</v>
      </c>
      <c r="I886" t="s">
        <v>1001</v>
      </c>
      <c r="J886">
        <f>Table1[[#This Row],[Quantity]]*Table1[[#This Row],[Price]]*(1-Table1[[#This Row],[Discount]])</f>
        <v>3000</v>
      </c>
      <c r="K886">
        <f>VALUE(SUBSTITUTE(Table1[[#This Row],[Discount]],"%",""))/100</f>
        <v>0</v>
      </c>
    </row>
    <row r="887" spans="1:11" x14ac:dyDescent="0.35">
      <c r="A887">
        <v>1885</v>
      </c>
      <c r="B887" s="1">
        <v>45840</v>
      </c>
      <c r="C887" t="s">
        <v>870</v>
      </c>
      <c r="D887" t="s">
        <v>981</v>
      </c>
      <c r="E887" t="s">
        <v>986</v>
      </c>
      <c r="F887" t="s">
        <v>997</v>
      </c>
      <c r="G887">
        <v>3</v>
      </c>
      <c r="H887">
        <v>100</v>
      </c>
      <c r="I887" t="s">
        <v>1001</v>
      </c>
      <c r="J887">
        <f>Table1[[#This Row],[Quantity]]*Table1[[#This Row],[Price]]*(1-Table1[[#This Row],[Discount]])</f>
        <v>300</v>
      </c>
      <c r="K887">
        <f>VALUE(SUBSTITUTE(Table1[[#This Row],[Discount]],"%",""))/100</f>
        <v>0</v>
      </c>
    </row>
    <row r="888" spans="1:11" x14ac:dyDescent="0.35">
      <c r="A888">
        <v>1886</v>
      </c>
      <c r="B888" s="1">
        <v>45678</v>
      </c>
      <c r="C888" t="s">
        <v>871</v>
      </c>
      <c r="D888" t="s">
        <v>978</v>
      </c>
      <c r="E888" t="s">
        <v>993</v>
      </c>
      <c r="F888" t="s">
        <v>999</v>
      </c>
      <c r="G888">
        <v>7</v>
      </c>
      <c r="H888">
        <v>250</v>
      </c>
      <c r="I888" t="s">
        <v>1001</v>
      </c>
      <c r="J888">
        <f>Table1[[#This Row],[Quantity]]*Table1[[#This Row],[Price]]*(1-Table1[[#This Row],[Discount]])</f>
        <v>1750</v>
      </c>
      <c r="K888">
        <f>VALUE(SUBSTITUTE(Table1[[#This Row],[Discount]],"%",""))/100</f>
        <v>0</v>
      </c>
    </row>
    <row r="889" spans="1:11" x14ac:dyDescent="0.35">
      <c r="A889">
        <v>1887</v>
      </c>
      <c r="B889" s="1">
        <v>45644</v>
      </c>
      <c r="C889" t="s">
        <v>872</v>
      </c>
      <c r="D889" t="s">
        <v>979</v>
      </c>
      <c r="E889" t="s">
        <v>995</v>
      </c>
      <c r="F889" t="s">
        <v>997</v>
      </c>
      <c r="G889">
        <v>7</v>
      </c>
      <c r="H889">
        <v>250</v>
      </c>
      <c r="I889" t="s">
        <v>1004</v>
      </c>
      <c r="J889">
        <f>Table1[[#This Row],[Quantity]]*Table1[[#This Row],[Price]]*(1-Table1[[#This Row],[Discount]])</f>
        <v>1575</v>
      </c>
      <c r="K889">
        <f>VALUE(SUBSTITUTE(Table1[[#This Row],[Discount]],"%",""))/100</f>
        <v>0.1</v>
      </c>
    </row>
    <row r="890" spans="1:11" x14ac:dyDescent="0.35">
      <c r="A890">
        <v>1888</v>
      </c>
      <c r="B890" s="1">
        <v>45549</v>
      </c>
      <c r="C890" t="s">
        <v>873</v>
      </c>
      <c r="D890" t="s">
        <v>979</v>
      </c>
      <c r="E890" t="s">
        <v>984</v>
      </c>
      <c r="F890" t="s">
        <v>998</v>
      </c>
      <c r="G890">
        <v>4</v>
      </c>
      <c r="H890">
        <v>100</v>
      </c>
      <c r="I890" t="s">
        <v>1004</v>
      </c>
      <c r="J890">
        <f>Table1[[#This Row],[Quantity]]*Table1[[#This Row],[Price]]*(1-Table1[[#This Row],[Discount]])</f>
        <v>360</v>
      </c>
      <c r="K890">
        <f>VALUE(SUBSTITUTE(Table1[[#This Row],[Discount]],"%",""))/100</f>
        <v>0.1</v>
      </c>
    </row>
    <row r="891" spans="1:11" x14ac:dyDescent="0.35">
      <c r="A891">
        <v>1889</v>
      </c>
      <c r="B891" s="1">
        <v>45674</v>
      </c>
      <c r="C891" t="s">
        <v>874</v>
      </c>
      <c r="D891" t="s">
        <v>978</v>
      </c>
      <c r="E891" t="s">
        <v>989</v>
      </c>
      <c r="F891" t="s">
        <v>999</v>
      </c>
      <c r="G891">
        <v>7</v>
      </c>
      <c r="H891">
        <v>4500</v>
      </c>
      <c r="I891" t="s">
        <v>1001</v>
      </c>
      <c r="J891">
        <f>Table1[[#This Row],[Quantity]]*Table1[[#This Row],[Price]]*(1-Table1[[#This Row],[Discount]])</f>
        <v>31500</v>
      </c>
      <c r="K891">
        <f>VALUE(SUBSTITUTE(Table1[[#This Row],[Discount]],"%",""))/100</f>
        <v>0</v>
      </c>
    </row>
    <row r="892" spans="1:11" x14ac:dyDescent="0.35">
      <c r="A892">
        <v>1890</v>
      </c>
      <c r="B892" s="1">
        <v>45636</v>
      </c>
      <c r="C892" t="s">
        <v>875</v>
      </c>
      <c r="D892" t="s">
        <v>980</v>
      </c>
      <c r="E892" t="s">
        <v>990</v>
      </c>
      <c r="F892" t="s">
        <v>998</v>
      </c>
      <c r="G892">
        <v>9</v>
      </c>
      <c r="H892">
        <v>2500</v>
      </c>
      <c r="I892" t="s">
        <v>1002</v>
      </c>
      <c r="J892">
        <f>Table1[[#This Row],[Quantity]]*Table1[[#This Row],[Price]]*(1-Table1[[#This Row],[Discount]])</f>
        <v>18000</v>
      </c>
      <c r="K892">
        <f>VALUE(SUBSTITUTE(Table1[[#This Row],[Discount]],"%",""))/100</f>
        <v>0.2</v>
      </c>
    </row>
    <row r="893" spans="1:11" x14ac:dyDescent="0.35">
      <c r="A893">
        <v>1891</v>
      </c>
      <c r="B893" s="1">
        <v>45823</v>
      </c>
      <c r="C893" t="s">
        <v>876</v>
      </c>
      <c r="D893" t="s">
        <v>980</v>
      </c>
      <c r="E893" t="s">
        <v>986</v>
      </c>
      <c r="F893" t="s">
        <v>997</v>
      </c>
      <c r="G893">
        <v>3</v>
      </c>
      <c r="H893">
        <v>100</v>
      </c>
      <c r="I893" t="s">
        <v>1001</v>
      </c>
      <c r="J893">
        <f>Table1[[#This Row],[Quantity]]*Table1[[#This Row],[Price]]*(1-Table1[[#This Row],[Discount]])</f>
        <v>300</v>
      </c>
      <c r="K893">
        <f>VALUE(SUBSTITUTE(Table1[[#This Row],[Discount]],"%",""))/100</f>
        <v>0</v>
      </c>
    </row>
    <row r="894" spans="1:11" x14ac:dyDescent="0.35">
      <c r="A894">
        <v>1892</v>
      </c>
      <c r="B894" s="1">
        <v>45564</v>
      </c>
      <c r="C894" t="s">
        <v>877</v>
      </c>
      <c r="D894" t="s">
        <v>978</v>
      </c>
      <c r="E894" t="s">
        <v>988</v>
      </c>
      <c r="F894" t="s">
        <v>999</v>
      </c>
      <c r="G894">
        <v>10</v>
      </c>
      <c r="H894">
        <v>1000</v>
      </c>
      <c r="I894" t="s">
        <v>1001</v>
      </c>
      <c r="J894">
        <f>Table1[[#This Row],[Quantity]]*Table1[[#This Row],[Price]]*(1-Table1[[#This Row],[Discount]])</f>
        <v>10000</v>
      </c>
      <c r="K894">
        <f>VALUE(SUBSTITUTE(Table1[[#This Row],[Discount]],"%",""))/100</f>
        <v>0</v>
      </c>
    </row>
    <row r="895" spans="1:11" x14ac:dyDescent="0.35">
      <c r="A895">
        <v>1893</v>
      </c>
      <c r="B895" s="1">
        <v>45586</v>
      </c>
      <c r="C895" t="s">
        <v>878</v>
      </c>
      <c r="D895" t="s">
        <v>978</v>
      </c>
      <c r="E895" t="s">
        <v>987</v>
      </c>
      <c r="F895" t="s">
        <v>999</v>
      </c>
      <c r="G895">
        <v>3</v>
      </c>
      <c r="H895">
        <v>1000</v>
      </c>
      <c r="I895" t="s">
        <v>1003</v>
      </c>
      <c r="J895">
        <f>Table1[[#This Row],[Quantity]]*Table1[[#This Row],[Price]]*(1-Table1[[#This Row],[Discount]])</f>
        <v>2550</v>
      </c>
      <c r="K895">
        <f>VALUE(SUBSTITUTE(Table1[[#This Row],[Discount]],"%",""))/100</f>
        <v>0.15</v>
      </c>
    </row>
    <row r="896" spans="1:11" x14ac:dyDescent="0.35">
      <c r="A896">
        <v>1894</v>
      </c>
      <c r="B896" s="1">
        <v>45660</v>
      </c>
      <c r="C896" t="s">
        <v>879</v>
      </c>
      <c r="D896" t="s">
        <v>978</v>
      </c>
      <c r="E896" t="s">
        <v>986</v>
      </c>
      <c r="F896" t="s">
        <v>997</v>
      </c>
      <c r="G896">
        <v>5</v>
      </c>
      <c r="H896">
        <v>4500</v>
      </c>
      <c r="I896" t="s">
        <v>1004</v>
      </c>
      <c r="J896">
        <f>Table1[[#This Row],[Quantity]]*Table1[[#This Row],[Price]]*(1-Table1[[#This Row],[Discount]])</f>
        <v>20250</v>
      </c>
      <c r="K896">
        <f>VALUE(SUBSTITUTE(Table1[[#This Row],[Discount]],"%",""))/100</f>
        <v>0.1</v>
      </c>
    </row>
    <row r="897" spans="1:11" x14ac:dyDescent="0.35">
      <c r="A897">
        <v>1895</v>
      </c>
      <c r="B897" s="1">
        <v>45765</v>
      </c>
      <c r="C897" t="s">
        <v>1005</v>
      </c>
      <c r="E897" t="s">
        <v>986</v>
      </c>
      <c r="F897" t="s">
        <v>997</v>
      </c>
      <c r="G897">
        <v>1</v>
      </c>
      <c r="H897">
        <v>300</v>
      </c>
      <c r="I897" t="s">
        <v>1001</v>
      </c>
      <c r="J897">
        <f>Table1[[#This Row],[Quantity]]*Table1[[#This Row],[Price]]*(1-Table1[[#This Row],[Discount]])</f>
        <v>300</v>
      </c>
      <c r="K897">
        <f>VALUE(SUBSTITUTE(Table1[[#This Row],[Discount]],"%",""))/100</f>
        <v>0</v>
      </c>
    </row>
    <row r="898" spans="1:11" x14ac:dyDescent="0.35">
      <c r="A898">
        <v>1896</v>
      </c>
      <c r="B898" s="1">
        <v>45734</v>
      </c>
      <c r="C898" t="s">
        <v>880</v>
      </c>
      <c r="D898" t="s">
        <v>979</v>
      </c>
      <c r="E898" t="s">
        <v>994</v>
      </c>
      <c r="F898" t="s">
        <v>997</v>
      </c>
      <c r="G898">
        <v>7</v>
      </c>
      <c r="H898">
        <v>250</v>
      </c>
      <c r="I898" t="s">
        <v>1001</v>
      </c>
      <c r="J898">
        <f>Table1[[#This Row],[Quantity]]*Table1[[#This Row],[Price]]*(1-Table1[[#This Row],[Discount]])</f>
        <v>1750</v>
      </c>
      <c r="K898">
        <f>VALUE(SUBSTITUTE(Table1[[#This Row],[Discount]],"%",""))/100</f>
        <v>0</v>
      </c>
    </row>
    <row r="899" spans="1:11" x14ac:dyDescent="0.35">
      <c r="A899">
        <v>1897</v>
      </c>
      <c r="B899" s="1">
        <v>45619</v>
      </c>
      <c r="C899" t="s">
        <v>881</v>
      </c>
      <c r="D899" t="s">
        <v>978</v>
      </c>
      <c r="E899" t="s">
        <v>985</v>
      </c>
      <c r="F899" t="s">
        <v>998</v>
      </c>
      <c r="G899">
        <v>7</v>
      </c>
      <c r="H899">
        <v>1500</v>
      </c>
      <c r="I899" t="s">
        <v>1003</v>
      </c>
      <c r="J899">
        <f>Table1[[#This Row],[Quantity]]*Table1[[#This Row],[Price]]*(1-Table1[[#This Row],[Discount]])</f>
        <v>8925</v>
      </c>
      <c r="K899">
        <f>VALUE(SUBSTITUTE(Table1[[#This Row],[Discount]],"%",""))/100</f>
        <v>0.15</v>
      </c>
    </row>
    <row r="900" spans="1:11" x14ac:dyDescent="0.35">
      <c r="A900">
        <v>1898</v>
      </c>
      <c r="B900" s="1">
        <v>45848</v>
      </c>
      <c r="C900" t="s">
        <v>1005</v>
      </c>
      <c r="D900" t="s">
        <v>979</v>
      </c>
      <c r="E900" t="s">
        <v>984</v>
      </c>
      <c r="F900" t="s">
        <v>998</v>
      </c>
      <c r="G900">
        <v>6</v>
      </c>
      <c r="H900">
        <v>500</v>
      </c>
      <c r="I900" t="s">
        <v>1003</v>
      </c>
      <c r="J900">
        <f>Table1[[#This Row],[Quantity]]*Table1[[#This Row],[Price]]*(1-Table1[[#This Row],[Discount]])</f>
        <v>2550</v>
      </c>
      <c r="K900">
        <f>VALUE(SUBSTITUTE(Table1[[#This Row],[Discount]],"%",""))/100</f>
        <v>0.15</v>
      </c>
    </row>
    <row r="901" spans="1:11" x14ac:dyDescent="0.35">
      <c r="A901">
        <v>1899</v>
      </c>
      <c r="B901" s="1">
        <v>45682</v>
      </c>
      <c r="C901" t="s">
        <v>882</v>
      </c>
      <c r="D901" t="s">
        <v>981</v>
      </c>
      <c r="E901" t="s">
        <v>986</v>
      </c>
      <c r="F901" t="s">
        <v>997</v>
      </c>
      <c r="G901">
        <v>4</v>
      </c>
      <c r="H901">
        <v>250</v>
      </c>
      <c r="I901" t="s">
        <v>1002</v>
      </c>
      <c r="J901">
        <f>Table1[[#This Row],[Quantity]]*Table1[[#This Row],[Price]]*(1-Table1[[#This Row],[Discount]])</f>
        <v>800</v>
      </c>
      <c r="K901">
        <f>VALUE(SUBSTITUTE(Table1[[#This Row],[Discount]],"%",""))/100</f>
        <v>0.2</v>
      </c>
    </row>
    <row r="902" spans="1:11" x14ac:dyDescent="0.35">
      <c r="A902">
        <v>1900</v>
      </c>
      <c r="B902" s="1">
        <v>45727</v>
      </c>
      <c r="C902" t="s">
        <v>883</v>
      </c>
      <c r="E902" t="s">
        <v>987</v>
      </c>
      <c r="F902" t="s">
        <v>999</v>
      </c>
      <c r="G902">
        <v>5</v>
      </c>
      <c r="H902">
        <v>4500</v>
      </c>
      <c r="I902" t="s">
        <v>1002</v>
      </c>
      <c r="J902">
        <f>Table1[[#This Row],[Quantity]]*Table1[[#This Row],[Price]]*(1-Table1[[#This Row],[Discount]])</f>
        <v>18000</v>
      </c>
      <c r="K902">
        <f>VALUE(SUBSTITUTE(Table1[[#This Row],[Discount]],"%",""))/100</f>
        <v>0.2</v>
      </c>
    </row>
    <row r="903" spans="1:11" x14ac:dyDescent="0.35">
      <c r="A903">
        <v>1901</v>
      </c>
      <c r="B903" s="1">
        <v>45828</v>
      </c>
      <c r="C903" t="s">
        <v>884</v>
      </c>
      <c r="D903" t="s">
        <v>978</v>
      </c>
      <c r="E903" t="s">
        <v>985</v>
      </c>
      <c r="F903" t="s">
        <v>998</v>
      </c>
      <c r="G903">
        <v>10</v>
      </c>
      <c r="H903">
        <v>4500</v>
      </c>
      <c r="I903" t="s">
        <v>1000</v>
      </c>
      <c r="J903">
        <f>Table1[[#This Row],[Quantity]]*Table1[[#This Row],[Price]]*(1-Table1[[#This Row],[Discount]])</f>
        <v>42750</v>
      </c>
      <c r="K903">
        <f>VALUE(SUBSTITUTE(Table1[[#This Row],[Discount]],"%",""))/100</f>
        <v>0.05</v>
      </c>
    </row>
    <row r="904" spans="1:11" x14ac:dyDescent="0.35">
      <c r="A904">
        <v>1902</v>
      </c>
      <c r="B904" s="1">
        <v>45610</v>
      </c>
      <c r="C904" t="s">
        <v>885</v>
      </c>
      <c r="D904" t="s">
        <v>978</v>
      </c>
      <c r="E904" t="s">
        <v>983</v>
      </c>
      <c r="F904" t="s">
        <v>997</v>
      </c>
      <c r="G904">
        <v>2</v>
      </c>
      <c r="H904">
        <v>300</v>
      </c>
      <c r="I904" t="s">
        <v>1001</v>
      </c>
      <c r="J904">
        <f>Table1[[#This Row],[Quantity]]*Table1[[#This Row],[Price]]*(1-Table1[[#This Row],[Discount]])</f>
        <v>600</v>
      </c>
      <c r="K904">
        <f>VALUE(SUBSTITUTE(Table1[[#This Row],[Discount]],"%",""))/100</f>
        <v>0</v>
      </c>
    </row>
    <row r="905" spans="1:11" x14ac:dyDescent="0.35">
      <c r="A905">
        <v>1903</v>
      </c>
      <c r="B905" s="1">
        <v>45608</v>
      </c>
      <c r="C905" t="s">
        <v>886</v>
      </c>
      <c r="D905" t="s">
        <v>981</v>
      </c>
      <c r="E905" t="s">
        <v>986</v>
      </c>
      <c r="F905" t="s">
        <v>997</v>
      </c>
      <c r="G905">
        <v>4</v>
      </c>
      <c r="H905">
        <v>1354.67</v>
      </c>
      <c r="I905" t="s">
        <v>1002</v>
      </c>
      <c r="J905">
        <f>Table1[[#This Row],[Quantity]]*Table1[[#This Row],[Price]]*(1-Table1[[#This Row],[Discount]])</f>
        <v>4334.9440000000004</v>
      </c>
      <c r="K905">
        <f>VALUE(SUBSTITUTE(Table1[[#This Row],[Discount]],"%",""))/100</f>
        <v>0.2</v>
      </c>
    </row>
    <row r="906" spans="1:11" x14ac:dyDescent="0.35">
      <c r="A906">
        <v>1904</v>
      </c>
      <c r="B906" s="1">
        <v>45777</v>
      </c>
      <c r="C906" t="s">
        <v>887</v>
      </c>
      <c r="D906" t="s">
        <v>981</v>
      </c>
      <c r="E906" t="s">
        <v>987</v>
      </c>
      <c r="F906" t="s">
        <v>999</v>
      </c>
      <c r="G906">
        <v>6</v>
      </c>
      <c r="H906">
        <v>2500</v>
      </c>
      <c r="I906" t="s">
        <v>1003</v>
      </c>
      <c r="J906">
        <f>Table1[[#This Row],[Quantity]]*Table1[[#This Row],[Price]]*(1-Table1[[#This Row],[Discount]])</f>
        <v>12750</v>
      </c>
      <c r="K906">
        <f>VALUE(SUBSTITUTE(Table1[[#This Row],[Discount]],"%",""))/100</f>
        <v>0.15</v>
      </c>
    </row>
    <row r="907" spans="1:11" x14ac:dyDescent="0.35">
      <c r="A907">
        <v>1905</v>
      </c>
      <c r="B907" s="1">
        <v>45701</v>
      </c>
      <c r="C907" t="s">
        <v>888</v>
      </c>
      <c r="D907" t="s">
        <v>980</v>
      </c>
      <c r="E907" t="s">
        <v>982</v>
      </c>
      <c r="F907" t="s">
        <v>997</v>
      </c>
      <c r="G907">
        <v>4</v>
      </c>
      <c r="H907">
        <v>100</v>
      </c>
      <c r="I907" t="s">
        <v>1004</v>
      </c>
      <c r="J907">
        <f>Table1[[#This Row],[Quantity]]*Table1[[#This Row],[Price]]*(1-Table1[[#This Row],[Discount]])</f>
        <v>360</v>
      </c>
      <c r="K907">
        <f>VALUE(SUBSTITUTE(Table1[[#This Row],[Discount]],"%",""))/100</f>
        <v>0.1</v>
      </c>
    </row>
    <row r="908" spans="1:11" x14ac:dyDescent="0.35">
      <c r="A908">
        <v>1906</v>
      </c>
      <c r="B908" s="1">
        <v>45812</v>
      </c>
      <c r="C908" t="s">
        <v>229</v>
      </c>
      <c r="D908" t="s">
        <v>980</v>
      </c>
      <c r="E908" t="s">
        <v>987</v>
      </c>
      <c r="F908" t="s">
        <v>999</v>
      </c>
      <c r="G908">
        <v>10</v>
      </c>
      <c r="H908">
        <v>100</v>
      </c>
      <c r="I908" t="s">
        <v>1000</v>
      </c>
      <c r="J908">
        <f>Table1[[#This Row],[Quantity]]*Table1[[#This Row],[Price]]*(1-Table1[[#This Row],[Discount]])</f>
        <v>950</v>
      </c>
      <c r="K908">
        <f>VALUE(SUBSTITUTE(Table1[[#This Row],[Discount]],"%",""))/100</f>
        <v>0.05</v>
      </c>
    </row>
    <row r="909" spans="1:11" x14ac:dyDescent="0.35">
      <c r="A909">
        <v>1907</v>
      </c>
      <c r="B909" s="1">
        <v>45555</v>
      </c>
      <c r="C909" t="s">
        <v>889</v>
      </c>
      <c r="D909" t="s">
        <v>980</v>
      </c>
      <c r="E909" t="s">
        <v>993</v>
      </c>
      <c r="F909" t="s">
        <v>999</v>
      </c>
      <c r="G909">
        <v>2</v>
      </c>
      <c r="H909">
        <v>250</v>
      </c>
      <c r="I909" t="s">
        <v>1001</v>
      </c>
      <c r="J909">
        <f>Table1[[#This Row],[Quantity]]*Table1[[#This Row],[Price]]*(1-Table1[[#This Row],[Discount]])</f>
        <v>500</v>
      </c>
      <c r="K909">
        <f>VALUE(SUBSTITUTE(Table1[[#This Row],[Discount]],"%",""))/100</f>
        <v>0</v>
      </c>
    </row>
    <row r="910" spans="1:11" x14ac:dyDescent="0.35">
      <c r="A910">
        <v>1908</v>
      </c>
      <c r="B910" s="1">
        <v>45601</v>
      </c>
      <c r="C910" t="s">
        <v>890</v>
      </c>
      <c r="D910" t="s">
        <v>978</v>
      </c>
      <c r="E910" t="s">
        <v>993</v>
      </c>
      <c r="F910" t="s">
        <v>999</v>
      </c>
      <c r="G910">
        <v>4</v>
      </c>
      <c r="H910">
        <v>250</v>
      </c>
      <c r="I910" t="s">
        <v>1003</v>
      </c>
      <c r="J910">
        <f>Table1[[#This Row],[Quantity]]*Table1[[#This Row],[Price]]*(1-Table1[[#This Row],[Discount]])</f>
        <v>850</v>
      </c>
      <c r="K910">
        <f>VALUE(SUBSTITUTE(Table1[[#This Row],[Discount]],"%",""))/100</f>
        <v>0.15</v>
      </c>
    </row>
    <row r="911" spans="1:11" x14ac:dyDescent="0.35">
      <c r="A911">
        <v>1909</v>
      </c>
      <c r="B911" s="1">
        <v>45727</v>
      </c>
      <c r="C911" t="s">
        <v>891</v>
      </c>
      <c r="D911" t="s">
        <v>980</v>
      </c>
      <c r="E911" t="s">
        <v>983</v>
      </c>
      <c r="F911" t="s">
        <v>997</v>
      </c>
      <c r="G911">
        <v>2</v>
      </c>
      <c r="H911">
        <v>4500</v>
      </c>
      <c r="I911" t="s">
        <v>1001</v>
      </c>
      <c r="J911">
        <f>Table1[[#This Row],[Quantity]]*Table1[[#This Row],[Price]]*(1-Table1[[#This Row],[Discount]])</f>
        <v>9000</v>
      </c>
      <c r="K911">
        <f>VALUE(SUBSTITUTE(Table1[[#This Row],[Discount]],"%",""))/100</f>
        <v>0</v>
      </c>
    </row>
    <row r="912" spans="1:11" x14ac:dyDescent="0.35">
      <c r="A912">
        <v>1910</v>
      </c>
      <c r="B912" s="1">
        <v>45783</v>
      </c>
      <c r="C912" t="s">
        <v>892</v>
      </c>
      <c r="D912" t="s">
        <v>979</v>
      </c>
      <c r="E912" t="s">
        <v>984</v>
      </c>
      <c r="F912" t="s">
        <v>998</v>
      </c>
      <c r="G912">
        <v>6</v>
      </c>
      <c r="H912">
        <v>250</v>
      </c>
      <c r="I912" t="s">
        <v>1000</v>
      </c>
      <c r="J912">
        <f>Table1[[#This Row],[Quantity]]*Table1[[#This Row],[Price]]*(1-Table1[[#This Row],[Discount]])</f>
        <v>1425</v>
      </c>
      <c r="K912">
        <f>VALUE(SUBSTITUTE(Table1[[#This Row],[Discount]],"%",""))/100</f>
        <v>0.05</v>
      </c>
    </row>
    <row r="913" spans="1:11" x14ac:dyDescent="0.35">
      <c r="A913">
        <v>1911</v>
      </c>
      <c r="B913" s="1">
        <v>45685</v>
      </c>
      <c r="C913" t="s">
        <v>893</v>
      </c>
      <c r="D913" t="s">
        <v>979</v>
      </c>
      <c r="E913" t="s">
        <v>994</v>
      </c>
      <c r="F913" t="s">
        <v>997</v>
      </c>
      <c r="G913">
        <v>2</v>
      </c>
      <c r="H913">
        <v>250</v>
      </c>
      <c r="I913" t="s">
        <v>1001</v>
      </c>
      <c r="J913">
        <f>Table1[[#This Row],[Quantity]]*Table1[[#This Row],[Price]]*(1-Table1[[#This Row],[Discount]])</f>
        <v>500</v>
      </c>
      <c r="K913">
        <f>VALUE(SUBSTITUTE(Table1[[#This Row],[Discount]],"%",""))/100</f>
        <v>0</v>
      </c>
    </row>
    <row r="914" spans="1:11" x14ac:dyDescent="0.35">
      <c r="A914">
        <v>1912</v>
      </c>
      <c r="B914" s="1">
        <v>45829</v>
      </c>
      <c r="C914" t="s">
        <v>894</v>
      </c>
      <c r="D914" t="s">
        <v>980</v>
      </c>
      <c r="E914" t="s">
        <v>988</v>
      </c>
      <c r="F914" t="s">
        <v>999</v>
      </c>
      <c r="G914">
        <v>10</v>
      </c>
      <c r="H914">
        <v>100</v>
      </c>
      <c r="I914" t="s">
        <v>1003</v>
      </c>
      <c r="J914">
        <f>Table1[[#This Row],[Quantity]]*Table1[[#This Row],[Price]]*(1-Table1[[#This Row],[Discount]])</f>
        <v>850</v>
      </c>
      <c r="K914">
        <f>VALUE(SUBSTITUTE(Table1[[#This Row],[Discount]],"%",""))/100</f>
        <v>0.15</v>
      </c>
    </row>
    <row r="915" spans="1:11" x14ac:dyDescent="0.35">
      <c r="A915">
        <v>1913</v>
      </c>
      <c r="B915" s="1">
        <v>45615</v>
      </c>
      <c r="C915" t="s">
        <v>895</v>
      </c>
      <c r="D915" t="s">
        <v>981</v>
      </c>
      <c r="E915" t="s">
        <v>985</v>
      </c>
      <c r="F915" t="s">
        <v>998</v>
      </c>
      <c r="G915">
        <v>1</v>
      </c>
      <c r="H915">
        <v>4500</v>
      </c>
      <c r="I915" t="s">
        <v>1002</v>
      </c>
      <c r="J915">
        <f>Table1[[#This Row],[Quantity]]*Table1[[#This Row],[Price]]*(1-Table1[[#This Row],[Discount]])</f>
        <v>3600</v>
      </c>
      <c r="K915">
        <f>VALUE(SUBSTITUTE(Table1[[#This Row],[Discount]],"%",""))/100</f>
        <v>0.2</v>
      </c>
    </row>
    <row r="916" spans="1:11" x14ac:dyDescent="0.35">
      <c r="A916">
        <v>1914</v>
      </c>
      <c r="B916" s="1">
        <v>45814</v>
      </c>
      <c r="C916" t="s">
        <v>896</v>
      </c>
      <c r="D916" t="s">
        <v>978</v>
      </c>
      <c r="E916" t="s">
        <v>982</v>
      </c>
      <c r="F916" t="s">
        <v>997</v>
      </c>
      <c r="G916">
        <v>10</v>
      </c>
      <c r="H916">
        <v>500</v>
      </c>
      <c r="I916" t="s">
        <v>1002</v>
      </c>
      <c r="J916">
        <f>Table1[[#This Row],[Quantity]]*Table1[[#This Row],[Price]]*(1-Table1[[#This Row],[Discount]])</f>
        <v>4000</v>
      </c>
      <c r="K916">
        <f>VALUE(SUBSTITUTE(Table1[[#This Row],[Discount]],"%",""))/100</f>
        <v>0.2</v>
      </c>
    </row>
    <row r="917" spans="1:11" x14ac:dyDescent="0.35">
      <c r="A917">
        <v>1915</v>
      </c>
      <c r="B917" s="1">
        <v>45850</v>
      </c>
      <c r="C917" t="s">
        <v>897</v>
      </c>
      <c r="D917" t="s">
        <v>978</v>
      </c>
      <c r="E917" t="s">
        <v>995</v>
      </c>
      <c r="F917" t="s">
        <v>997</v>
      </c>
      <c r="G917">
        <v>8</v>
      </c>
      <c r="H917">
        <v>300</v>
      </c>
      <c r="I917" t="s">
        <v>1000</v>
      </c>
      <c r="J917">
        <f>Table1[[#This Row],[Quantity]]*Table1[[#This Row],[Price]]*(1-Table1[[#This Row],[Discount]])</f>
        <v>2280</v>
      </c>
      <c r="K917">
        <f>VALUE(SUBSTITUTE(Table1[[#This Row],[Discount]],"%",""))/100</f>
        <v>0.05</v>
      </c>
    </row>
    <row r="918" spans="1:11" x14ac:dyDescent="0.35">
      <c r="A918">
        <v>1916</v>
      </c>
      <c r="B918" s="1">
        <v>45790</v>
      </c>
      <c r="C918" t="s">
        <v>898</v>
      </c>
      <c r="D918" t="s">
        <v>978</v>
      </c>
      <c r="E918" t="s">
        <v>989</v>
      </c>
      <c r="F918" t="s">
        <v>999</v>
      </c>
      <c r="G918">
        <v>6</v>
      </c>
      <c r="H918">
        <v>1000</v>
      </c>
      <c r="I918" t="s">
        <v>1002</v>
      </c>
      <c r="J918">
        <f>Table1[[#This Row],[Quantity]]*Table1[[#This Row],[Price]]*(1-Table1[[#This Row],[Discount]])</f>
        <v>4800</v>
      </c>
      <c r="K918">
        <f>VALUE(SUBSTITUTE(Table1[[#This Row],[Discount]],"%",""))/100</f>
        <v>0.2</v>
      </c>
    </row>
    <row r="919" spans="1:11" x14ac:dyDescent="0.35">
      <c r="A919">
        <v>1917</v>
      </c>
      <c r="B919" s="1">
        <v>45645</v>
      </c>
      <c r="C919" t="s">
        <v>899</v>
      </c>
      <c r="D919" t="s">
        <v>978</v>
      </c>
      <c r="E919" t="s">
        <v>987</v>
      </c>
      <c r="F919" t="s">
        <v>999</v>
      </c>
      <c r="G919">
        <v>9</v>
      </c>
      <c r="H919">
        <v>300</v>
      </c>
      <c r="I919" t="s">
        <v>1001</v>
      </c>
      <c r="J919">
        <f>Table1[[#This Row],[Quantity]]*Table1[[#This Row],[Price]]*(1-Table1[[#This Row],[Discount]])</f>
        <v>2700</v>
      </c>
      <c r="K919">
        <f>VALUE(SUBSTITUTE(Table1[[#This Row],[Discount]],"%",""))/100</f>
        <v>0</v>
      </c>
    </row>
    <row r="920" spans="1:11" x14ac:dyDescent="0.35">
      <c r="A920">
        <v>1918</v>
      </c>
      <c r="B920" s="1">
        <v>45683</v>
      </c>
      <c r="C920" t="s">
        <v>900</v>
      </c>
      <c r="D920" t="s">
        <v>979</v>
      </c>
      <c r="E920" t="s">
        <v>993</v>
      </c>
      <c r="F920" t="s">
        <v>999</v>
      </c>
      <c r="G920">
        <v>4</v>
      </c>
      <c r="H920">
        <v>500</v>
      </c>
      <c r="I920" t="s">
        <v>1000</v>
      </c>
      <c r="J920">
        <f>Table1[[#This Row],[Quantity]]*Table1[[#This Row],[Price]]*(1-Table1[[#This Row],[Discount]])</f>
        <v>1900</v>
      </c>
      <c r="K920">
        <f>VALUE(SUBSTITUTE(Table1[[#This Row],[Discount]],"%",""))/100</f>
        <v>0.05</v>
      </c>
    </row>
    <row r="921" spans="1:11" x14ac:dyDescent="0.35">
      <c r="A921">
        <v>1919</v>
      </c>
      <c r="B921" s="1">
        <v>45742</v>
      </c>
      <c r="C921" t="s">
        <v>901</v>
      </c>
      <c r="D921" t="s">
        <v>981</v>
      </c>
      <c r="E921" t="s">
        <v>989</v>
      </c>
      <c r="F921" t="s">
        <v>999</v>
      </c>
      <c r="G921">
        <v>6</v>
      </c>
      <c r="H921">
        <v>1500</v>
      </c>
      <c r="I921" t="s">
        <v>1002</v>
      </c>
      <c r="J921">
        <f>Table1[[#This Row],[Quantity]]*Table1[[#This Row],[Price]]*(1-Table1[[#This Row],[Discount]])</f>
        <v>7200</v>
      </c>
      <c r="K921">
        <f>VALUE(SUBSTITUTE(Table1[[#This Row],[Discount]],"%",""))/100</f>
        <v>0.2</v>
      </c>
    </row>
    <row r="922" spans="1:11" x14ac:dyDescent="0.35">
      <c r="A922">
        <v>1920</v>
      </c>
      <c r="B922" s="1">
        <v>45837</v>
      </c>
      <c r="C922" t="s">
        <v>902</v>
      </c>
      <c r="D922" t="s">
        <v>978</v>
      </c>
      <c r="E922" t="s">
        <v>984</v>
      </c>
      <c r="F922" t="s">
        <v>998</v>
      </c>
      <c r="G922">
        <v>4</v>
      </c>
      <c r="H922">
        <v>100</v>
      </c>
      <c r="I922" t="s">
        <v>1000</v>
      </c>
      <c r="J922">
        <f>Table1[[#This Row],[Quantity]]*Table1[[#This Row],[Price]]*(1-Table1[[#This Row],[Discount]])</f>
        <v>380</v>
      </c>
      <c r="K922">
        <f>VALUE(SUBSTITUTE(Table1[[#This Row],[Discount]],"%",""))/100</f>
        <v>0.05</v>
      </c>
    </row>
    <row r="923" spans="1:11" x14ac:dyDescent="0.35">
      <c r="A923">
        <v>1921</v>
      </c>
      <c r="B923" s="1">
        <v>45839</v>
      </c>
      <c r="C923" t="s">
        <v>903</v>
      </c>
      <c r="D923" t="s">
        <v>979</v>
      </c>
      <c r="E923" t="s">
        <v>996</v>
      </c>
      <c r="F923" t="s">
        <v>999</v>
      </c>
      <c r="G923">
        <v>4</v>
      </c>
      <c r="H923">
        <v>2500</v>
      </c>
      <c r="I923" t="s">
        <v>1000</v>
      </c>
      <c r="J923">
        <f>Table1[[#This Row],[Quantity]]*Table1[[#This Row],[Price]]*(1-Table1[[#This Row],[Discount]])</f>
        <v>9500</v>
      </c>
      <c r="K923">
        <f>VALUE(SUBSTITUTE(Table1[[#This Row],[Discount]],"%",""))/100</f>
        <v>0.05</v>
      </c>
    </row>
    <row r="924" spans="1:11" x14ac:dyDescent="0.35">
      <c r="A924">
        <v>1922</v>
      </c>
      <c r="B924" s="1">
        <v>45659</v>
      </c>
      <c r="C924" t="s">
        <v>904</v>
      </c>
      <c r="D924" t="s">
        <v>981</v>
      </c>
      <c r="E924" t="s">
        <v>990</v>
      </c>
      <c r="F924" t="s">
        <v>998</v>
      </c>
      <c r="G924">
        <v>5</v>
      </c>
      <c r="H924">
        <v>4500</v>
      </c>
      <c r="I924" t="s">
        <v>1000</v>
      </c>
      <c r="J924">
        <f>Table1[[#This Row],[Quantity]]*Table1[[#This Row],[Price]]*(1-Table1[[#This Row],[Discount]])</f>
        <v>21375</v>
      </c>
      <c r="K924">
        <f>VALUE(SUBSTITUTE(Table1[[#This Row],[Discount]],"%",""))/100</f>
        <v>0.05</v>
      </c>
    </row>
    <row r="925" spans="1:11" x14ac:dyDescent="0.35">
      <c r="A925">
        <v>1923</v>
      </c>
      <c r="B925" s="1">
        <v>45835</v>
      </c>
      <c r="C925" t="s">
        <v>905</v>
      </c>
      <c r="D925" t="s">
        <v>978</v>
      </c>
      <c r="E925" t="s">
        <v>990</v>
      </c>
      <c r="F925" t="s">
        <v>998</v>
      </c>
      <c r="G925">
        <v>5</v>
      </c>
      <c r="H925">
        <v>300</v>
      </c>
      <c r="I925" t="s">
        <v>1004</v>
      </c>
      <c r="J925">
        <f>Table1[[#This Row],[Quantity]]*Table1[[#This Row],[Price]]*(1-Table1[[#This Row],[Discount]])</f>
        <v>1350</v>
      </c>
      <c r="K925">
        <f>VALUE(SUBSTITUTE(Table1[[#This Row],[Discount]],"%",""))/100</f>
        <v>0.1</v>
      </c>
    </row>
    <row r="926" spans="1:11" x14ac:dyDescent="0.35">
      <c r="A926">
        <v>1924</v>
      </c>
      <c r="B926" s="1">
        <v>45746</v>
      </c>
      <c r="C926" t="s">
        <v>906</v>
      </c>
      <c r="D926" t="s">
        <v>981</v>
      </c>
      <c r="E926" t="s">
        <v>992</v>
      </c>
      <c r="F926" t="s">
        <v>998</v>
      </c>
      <c r="G926">
        <v>3</v>
      </c>
      <c r="H926">
        <v>2500</v>
      </c>
      <c r="I926" t="s">
        <v>1001</v>
      </c>
      <c r="J926">
        <f>Table1[[#This Row],[Quantity]]*Table1[[#This Row],[Price]]*(1-Table1[[#This Row],[Discount]])</f>
        <v>7500</v>
      </c>
      <c r="K926">
        <f>VALUE(SUBSTITUTE(Table1[[#This Row],[Discount]],"%",""))/100</f>
        <v>0</v>
      </c>
    </row>
    <row r="927" spans="1:11" x14ac:dyDescent="0.35">
      <c r="A927">
        <v>1925</v>
      </c>
      <c r="B927" s="1">
        <v>45582</v>
      </c>
      <c r="C927" t="s">
        <v>907</v>
      </c>
      <c r="D927" t="s">
        <v>979</v>
      </c>
      <c r="E927" t="s">
        <v>988</v>
      </c>
      <c r="F927" t="s">
        <v>999</v>
      </c>
      <c r="G927">
        <v>9</v>
      </c>
      <c r="H927">
        <v>2500</v>
      </c>
      <c r="I927" t="s">
        <v>1001</v>
      </c>
      <c r="J927">
        <f>Table1[[#This Row],[Quantity]]*Table1[[#This Row],[Price]]*(1-Table1[[#This Row],[Discount]])</f>
        <v>22500</v>
      </c>
      <c r="K927">
        <f>VALUE(SUBSTITUTE(Table1[[#This Row],[Discount]],"%",""))/100</f>
        <v>0</v>
      </c>
    </row>
    <row r="928" spans="1:11" x14ac:dyDescent="0.35">
      <c r="A928">
        <v>1926</v>
      </c>
      <c r="B928" s="1">
        <v>45691</v>
      </c>
      <c r="C928" t="s">
        <v>908</v>
      </c>
      <c r="D928" t="s">
        <v>980</v>
      </c>
      <c r="E928" t="s">
        <v>991</v>
      </c>
      <c r="F928" t="s">
        <v>998</v>
      </c>
      <c r="G928">
        <v>7</v>
      </c>
      <c r="H928">
        <v>1500</v>
      </c>
      <c r="I928" t="s">
        <v>1004</v>
      </c>
      <c r="J928">
        <f>Table1[[#This Row],[Quantity]]*Table1[[#This Row],[Price]]*(1-Table1[[#This Row],[Discount]])</f>
        <v>9450</v>
      </c>
      <c r="K928">
        <f>VALUE(SUBSTITUTE(Table1[[#This Row],[Discount]],"%",""))/100</f>
        <v>0.1</v>
      </c>
    </row>
    <row r="929" spans="1:11" x14ac:dyDescent="0.35">
      <c r="A929">
        <v>1927</v>
      </c>
      <c r="B929" s="1">
        <v>45669</v>
      </c>
      <c r="C929" t="s">
        <v>909</v>
      </c>
      <c r="D929" t="s">
        <v>981</v>
      </c>
      <c r="E929" t="s">
        <v>995</v>
      </c>
      <c r="F929" t="s">
        <v>997</v>
      </c>
      <c r="G929">
        <v>4</v>
      </c>
      <c r="H929">
        <v>1000</v>
      </c>
      <c r="I929" t="s">
        <v>1000</v>
      </c>
      <c r="J929">
        <f>Table1[[#This Row],[Quantity]]*Table1[[#This Row],[Price]]*(1-Table1[[#This Row],[Discount]])</f>
        <v>3800</v>
      </c>
      <c r="K929">
        <f>VALUE(SUBSTITUTE(Table1[[#This Row],[Discount]],"%",""))/100</f>
        <v>0.05</v>
      </c>
    </row>
    <row r="930" spans="1:11" x14ac:dyDescent="0.35">
      <c r="A930">
        <v>1928</v>
      </c>
      <c r="B930" s="1">
        <v>45649</v>
      </c>
      <c r="C930" t="s">
        <v>910</v>
      </c>
      <c r="D930" t="s">
        <v>979</v>
      </c>
      <c r="E930" t="s">
        <v>991</v>
      </c>
      <c r="F930" t="s">
        <v>998</v>
      </c>
      <c r="G930">
        <v>10</v>
      </c>
      <c r="H930">
        <v>4500</v>
      </c>
      <c r="I930" t="s">
        <v>1000</v>
      </c>
      <c r="J930">
        <f>Table1[[#This Row],[Quantity]]*Table1[[#This Row],[Price]]*(1-Table1[[#This Row],[Discount]])</f>
        <v>42750</v>
      </c>
      <c r="K930">
        <f>VALUE(SUBSTITUTE(Table1[[#This Row],[Discount]],"%",""))/100</f>
        <v>0.05</v>
      </c>
    </row>
    <row r="931" spans="1:11" x14ac:dyDescent="0.35">
      <c r="A931">
        <v>1929</v>
      </c>
      <c r="B931" s="1">
        <v>45506</v>
      </c>
      <c r="C931" t="s">
        <v>911</v>
      </c>
      <c r="D931" t="s">
        <v>980</v>
      </c>
      <c r="E931" t="s">
        <v>991</v>
      </c>
      <c r="F931" t="s">
        <v>998</v>
      </c>
      <c r="G931">
        <v>7</v>
      </c>
      <c r="H931">
        <v>1500</v>
      </c>
      <c r="I931" t="s">
        <v>1003</v>
      </c>
      <c r="J931">
        <f>Table1[[#This Row],[Quantity]]*Table1[[#This Row],[Price]]*(1-Table1[[#This Row],[Discount]])</f>
        <v>8925</v>
      </c>
      <c r="K931">
        <f>VALUE(SUBSTITUTE(Table1[[#This Row],[Discount]],"%",""))/100</f>
        <v>0.15</v>
      </c>
    </row>
    <row r="932" spans="1:11" x14ac:dyDescent="0.35">
      <c r="A932">
        <v>1930</v>
      </c>
      <c r="B932" s="1">
        <v>45507</v>
      </c>
      <c r="C932" t="s">
        <v>912</v>
      </c>
      <c r="D932" t="s">
        <v>980</v>
      </c>
      <c r="E932" t="s">
        <v>996</v>
      </c>
      <c r="F932" t="s">
        <v>999</v>
      </c>
      <c r="G932">
        <v>8</v>
      </c>
      <c r="H932">
        <v>1000</v>
      </c>
      <c r="I932" t="s">
        <v>1002</v>
      </c>
      <c r="J932">
        <f>Table1[[#This Row],[Quantity]]*Table1[[#This Row],[Price]]*(1-Table1[[#This Row],[Discount]])</f>
        <v>6400</v>
      </c>
      <c r="K932">
        <f>VALUE(SUBSTITUTE(Table1[[#This Row],[Discount]],"%",""))/100</f>
        <v>0.2</v>
      </c>
    </row>
    <row r="933" spans="1:11" x14ac:dyDescent="0.35">
      <c r="A933">
        <v>1931</v>
      </c>
      <c r="B933" s="1">
        <v>45770</v>
      </c>
      <c r="C933" t="s">
        <v>913</v>
      </c>
      <c r="D933" t="s">
        <v>980</v>
      </c>
      <c r="E933" t="s">
        <v>990</v>
      </c>
      <c r="F933" t="s">
        <v>998</v>
      </c>
      <c r="G933">
        <v>4</v>
      </c>
      <c r="H933">
        <v>4500</v>
      </c>
      <c r="I933" t="s">
        <v>1000</v>
      </c>
      <c r="J933">
        <f>Table1[[#This Row],[Quantity]]*Table1[[#This Row],[Price]]*(1-Table1[[#This Row],[Discount]])</f>
        <v>17100</v>
      </c>
      <c r="K933">
        <f>VALUE(SUBSTITUTE(Table1[[#This Row],[Discount]],"%",""))/100</f>
        <v>0.05</v>
      </c>
    </row>
    <row r="934" spans="1:11" x14ac:dyDescent="0.35">
      <c r="A934">
        <v>1932</v>
      </c>
      <c r="B934" s="1">
        <v>45696</v>
      </c>
      <c r="C934" t="s">
        <v>914</v>
      </c>
      <c r="D934" t="s">
        <v>979</v>
      </c>
      <c r="E934" t="s">
        <v>985</v>
      </c>
      <c r="F934" t="s">
        <v>998</v>
      </c>
      <c r="G934">
        <v>5</v>
      </c>
      <c r="H934">
        <v>250</v>
      </c>
      <c r="I934" t="s">
        <v>1000</v>
      </c>
      <c r="J934">
        <f>Table1[[#This Row],[Quantity]]*Table1[[#This Row],[Price]]*(1-Table1[[#This Row],[Discount]])</f>
        <v>1187.5</v>
      </c>
      <c r="K934">
        <f>VALUE(SUBSTITUTE(Table1[[#This Row],[Discount]],"%",""))/100</f>
        <v>0.05</v>
      </c>
    </row>
    <row r="935" spans="1:11" x14ac:dyDescent="0.35">
      <c r="A935">
        <v>1933</v>
      </c>
      <c r="B935" s="1">
        <v>45616</v>
      </c>
      <c r="C935" t="s">
        <v>915</v>
      </c>
      <c r="D935" t="s">
        <v>980</v>
      </c>
      <c r="E935" t="s">
        <v>984</v>
      </c>
      <c r="F935" t="s">
        <v>998</v>
      </c>
      <c r="G935">
        <v>9</v>
      </c>
      <c r="H935">
        <v>1500</v>
      </c>
      <c r="I935" t="s">
        <v>1003</v>
      </c>
      <c r="J935">
        <f>Table1[[#This Row],[Quantity]]*Table1[[#This Row],[Price]]*(1-Table1[[#This Row],[Discount]])</f>
        <v>11475</v>
      </c>
      <c r="K935">
        <f>VALUE(SUBSTITUTE(Table1[[#This Row],[Discount]],"%",""))/100</f>
        <v>0.15</v>
      </c>
    </row>
    <row r="936" spans="1:11" x14ac:dyDescent="0.35">
      <c r="A936">
        <v>1934</v>
      </c>
      <c r="B936" s="1">
        <v>45704</v>
      </c>
      <c r="C936" t="s">
        <v>916</v>
      </c>
      <c r="D936" t="s">
        <v>980</v>
      </c>
      <c r="E936" t="s">
        <v>993</v>
      </c>
      <c r="F936" t="s">
        <v>999</v>
      </c>
      <c r="G936">
        <v>7</v>
      </c>
      <c r="H936">
        <v>100</v>
      </c>
      <c r="I936" t="s">
        <v>1000</v>
      </c>
      <c r="J936">
        <f>Table1[[#This Row],[Quantity]]*Table1[[#This Row],[Price]]*(1-Table1[[#This Row],[Discount]])</f>
        <v>665</v>
      </c>
      <c r="K936">
        <f>VALUE(SUBSTITUTE(Table1[[#This Row],[Discount]],"%",""))/100</f>
        <v>0.05</v>
      </c>
    </row>
    <row r="937" spans="1:11" x14ac:dyDescent="0.35">
      <c r="A937">
        <v>1935</v>
      </c>
      <c r="B937" s="1">
        <v>45634</v>
      </c>
      <c r="C937" t="s">
        <v>917</v>
      </c>
      <c r="D937" t="s">
        <v>978</v>
      </c>
      <c r="E937" t="s">
        <v>985</v>
      </c>
      <c r="F937" t="s">
        <v>998</v>
      </c>
      <c r="G937">
        <v>9</v>
      </c>
      <c r="H937">
        <v>250</v>
      </c>
      <c r="I937" t="s">
        <v>1004</v>
      </c>
      <c r="J937">
        <f>Table1[[#This Row],[Quantity]]*Table1[[#This Row],[Price]]*(1-Table1[[#This Row],[Discount]])</f>
        <v>2025</v>
      </c>
      <c r="K937">
        <f>VALUE(SUBSTITUTE(Table1[[#This Row],[Discount]],"%",""))/100</f>
        <v>0.1</v>
      </c>
    </row>
    <row r="938" spans="1:11" x14ac:dyDescent="0.35">
      <c r="A938">
        <v>1936</v>
      </c>
      <c r="B938" s="1">
        <v>45853</v>
      </c>
      <c r="C938" t="s">
        <v>918</v>
      </c>
      <c r="D938" t="s">
        <v>981</v>
      </c>
      <c r="E938" t="s">
        <v>985</v>
      </c>
      <c r="F938" t="s">
        <v>998</v>
      </c>
      <c r="G938">
        <v>4</v>
      </c>
      <c r="H938">
        <v>1500</v>
      </c>
      <c r="I938" t="s">
        <v>1004</v>
      </c>
      <c r="J938">
        <f>Table1[[#This Row],[Quantity]]*Table1[[#This Row],[Price]]*(1-Table1[[#This Row],[Discount]])</f>
        <v>5400</v>
      </c>
      <c r="K938">
        <f>VALUE(SUBSTITUTE(Table1[[#This Row],[Discount]],"%",""))/100</f>
        <v>0.1</v>
      </c>
    </row>
    <row r="939" spans="1:11" x14ac:dyDescent="0.35">
      <c r="A939">
        <v>1937</v>
      </c>
      <c r="B939" s="1">
        <v>45783</v>
      </c>
      <c r="C939" t="s">
        <v>919</v>
      </c>
      <c r="D939" t="s">
        <v>981</v>
      </c>
      <c r="E939" t="s">
        <v>991</v>
      </c>
      <c r="F939" t="s">
        <v>998</v>
      </c>
      <c r="G939">
        <v>3</v>
      </c>
      <c r="H939">
        <v>1000</v>
      </c>
      <c r="I939" t="s">
        <v>1001</v>
      </c>
      <c r="J939">
        <f>Table1[[#This Row],[Quantity]]*Table1[[#This Row],[Price]]*(1-Table1[[#This Row],[Discount]])</f>
        <v>3000</v>
      </c>
      <c r="K939">
        <f>VALUE(SUBSTITUTE(Table1[[#This Row],[Discount]],"%",""))/100</f>
        <v>0</v>
      </c>
    </row>
    <row r="940" spans="1:11" x14ac:dyDescent="0.35">
      <c r="A940">
        <v>1938</v>
      </c>
      <c r="B940" s="1">
        <v>45548</v>
      </c>
      <c r="C940" t="s">
        <v>920</v>
      </c>
      <c r="D940" t="s">
        <v>978</v>
      </c>
      <c r="E940" t="s">
        <v>989</v>
      </c>
      <c r="F940" t="s">
        <v>999</v>
      </c>
      <c r="G940">
        <v>1</v>
      </c>
      <c r="H940">
        <v>4500</v>
      </c>
      <c r="I940" t="s">
        <v>1002</v>
      </c>
      <c r="J940">
        <f>Table1[[#This Row],[Quantity]]*Table1[[#This Row],[Price]]*(1-Table1[[#This Row],[Discount]])</f>
        <v>3600</v>
      </c>
      <c r="K940">
        <f>VALUE(SUBSTITUTE(Table1[[#This Row],[Discount]],"%",""))/100</f>
        <v>0.2</v>
      </c>
    </row>
    <row r="941" spans="1:11" x14ac:dyDescent="0.35">
      <c r="A941">
        <v>1939</v>
      </c>
      <c r="B941" s="1">
        <v>45841</v>
      </c>
      <c r="C941" t="s">
        <v>921</v>
      </c>
      <c r="D941" t="s">
        <v>981</v>
      </c>
      <c r="E941" t="s">
        <v>984</v>
      </c>
      <c r="F941" t="s">
        <v>998</v>
      </c>
      <c r="G941">
        <v>4</v>
      </c>
      <c r="H941">
        <v>4500</v>
      </c>
      <c r="I941" t="s">
        <v>1003</v>
      </c>
      <c r="J941">
        <f>Table1[[#This Row],[Quantity]]*Table1[[#This Row],[Price]]*(1-Table1[[#This Row],[Discount]])</f>
        <v>15300</v>
      </c>
      <c r="K941">
        <f>VALUE(SUBSTITUTE(Table1[[#This Row],[Discount]],"%",""))/100</f>
        <v>0.15</v>
      </c>
    </row>
    <row r="942" spans="1:11" x14ac:dyDescent="0.35">
      <c r="A942">
        <v>1940</v>
      </c>
      <c r="B942" s="1">
        <v>45731</v>
      </c>
      <c r="C942" t="s">
        <v>922</v>
      </c>
      <c r="D942" t="s">
        <v>979</v>
      </c>
      <c r="E942" t="s">
        <v>994</v>
      </c>
      <c r="F942" t="s">
        <v>997</v>
      </c>
      <c r="G942">
        <v>4</v>
      </c>
      <c r="H942">
        <v>4500</v>
      </c>
      <c r="I942" t="s">
        <v>1003</v>
      </c>
      <c r="J942">
        <f>Table1[[#This Row],[Quantity]]*Table1[[#This Row],[Price]]*(1-Table1[[#This Row],[Discount]])</f>
        <v>15300</v>
      </c>
      <c r="K942">
        <f>VALUE(SUBSTITUTE(Table1[[#This Row],[Discount]],"%",""))/100</f>
        <v>0.15</v>
      </c>
    </row>
    <row r="943" spans="1:11" x14ac:dyDescent="0.35">
      <c r="A943">
        <v>1941</v>
      </c>
      <c r="B943" s="1">
        <v>45768</v>
      </c>
      <c r="C943" t="s">
        <v>923</v>
      </c>
      <c r="D943" t="s">
        <v>978</v>
      </c>
      <c r="E943" t="s">
        <v>982</v>
      </c>
      <c r="F943" t="s">
        <v>997</v>
      </c>
      <c r="G943">
        <v>8</v>
      </c>
      <c r="H943">
        <v>1500</v>
      </c>
      <c r="I943" t="s">
        <v>1004</v>
      </c>
      <c r="J943">
        <f>Table1[[#This Row],[Quantity]]*Table1[[#This Row],[Price]]*(1-Table1[[#This Row],[Discount]])</f>
        <v>10800</v>
      </c>
      <c r="K943">
        <f>VALUE(SUBSTITUTE(Table1[[#This Row],[Discount]],"%",""))/100</f>
        <v>0.1</v>
      </c>
    </row>
    <row r="944" spans="1:11" x14ac:dyDescent="0.35">
      <c r="A944">
        <v>1942</v>
      </c>
      <c r="B944" s="1">
        <v>45599</v>
      </c>
      <c r="C944" t="s">
        <v>924</v>
      </c>
      <c r="D944" t="s">
        <v>979</v>
      </c>
      <c r="E944" t="s">
        <v>995</v>
      </c>
      <c r="F944" t="s">
        <v>997</v>
      </c>
      <c r="G944">
        <v>5</v>
      </c>
      <c r="H944">
        <v>1500</v>
      </c>
      <c r="I944" t="s">
        <v>1002</v>
      </c>
      <c r="J944">
        <f>Table1[[#This Row],[Quantity]]*Table1[[#This Row],[Price]]*(1-Table1[[#This Row],[Discount]])</f>
        <v>6000</v>
      </c>
      <c r="K944">
        <f>VALUE(SUBSTITUTE(Table1[[#This Row],[Discount]],"%",""))/100</f>
        <v>0.2</v>
      </c>
    </row>
    <row r="945" spans="1:11" x14ac:dyDescent="0.35">
      <c r="A945">
        <v>1943</v>
      </c>
      <c r="B945" s="1">
        <v>45745</v>
      </c>
      <c r="C945" t="s">
        <v>925</v>
      </c>
      <c r="D945" t="s">
        <v>978</v>
      </c>
      <c r="E945" t="s">
        <v>989</v>
      </c>
      <c r="F945" t="s">
        <v>999</v>
      </c>
      <c r="G945">
        <v>10</v>
      </c>
      <c r="H945">
        <v>2500</v>
      </c>
      <c r="I945" t="s">
        <v>1003</v>
      </c>
      <c r="J945">
        <f>Table1[[#This Row],[Quantity]]*Table1[[#This Row],[Price]]*(1-Table1[[#This Row],[Discount]])</f>
        <v>21250</v>
      </c>
      <c r="K945">
        <f>VALUE(SUBSTITUTE(Table1[[#This Row],[Discount]],"%",""))/100</f>
        <v>0.15</v>
      </c>
    </row>
    <row r="946" spans="1:11" x14ac:dyDescent="0.35">
      <c r="A946">
        <v>1944</v>
      </c>
      <c r="B946" s="1">
        <v>45703</v>
      </c>
      <c r="C946" t="s">
        <v>926</v>
      </c>
      <c r="D946" t="s">
        <v>979</v>
      </c>
      <c r="E946" t="s">
        <v>987</v>
      </c>
      <c r="F946" t="s">
        <v>999</v>
      </c>
      <c r="G946">
        <v>6</v>
      </c>
      <c r="H946">
        <v>4500</v>
      </c>
      <c r="I946" t="s">
        <v>1004</v>
      </c>
      <c r="J946">
        <f>Table1[[#This Row],[Quantity]]*Table1[[#This Row],[Price]]*(1-Table1[[#This Row],[Discount]])</f>
        <v>24300</v>
      </c>
      <c r="K946">
        <f>VALUE(SUBSTITUTE(Table1[[#This Row],[Discount]],"%",""))/100</f>
        <v>0.1</v>
      </c>
    </row>
    <row r="947" spans="1:11" x14ac:dyDescent="0.35">
      <c r="A947">
        <v>1945</v>
      </c>
      <c r="B947" s="1">
        <v>45823</v>
      </c>
      <c r="C947" t="s">
        <v>927</v>
      </c>
      <c r="D947" t="s">
        <v>978</v>
      </c>
      <c r="E947" t="s">
        <v>995</v>
      </c>
      <c r="F947" t="s">
        <v>997</v>
      </c>
      <c r="G947">
        <v>8</v>
      </c>
      <c r="H947">
        <v>100</v>
      </c>
      <c r="I947" t="s">
        <v>1000</v>
      </c>
      <c r="J947">
        <f>Table1[[#This Row],[Quantity]]*Table1[[#This Row],[Price]]*(1-Table1[[#This Row],[Discount]])</f>
        <v>760</v>
      </c>
      <c r="K947">
        <f>VALUE(SUBSTITUTE(Table1[[#This Row],[Discount]],"%",""))/100</f>
        <v>0.05</v>
      </c>
    </row>
    <row r="948" spans="1:11" x14ac:dyDescent="0.35">
      <c r="A948">
        <v>1946</v>
      </c>
      <c r="B948" s="1">
        <v>45610</v>
      </c>
      <c r="C948" t="s">
        <v>1005</v>
      </c>
      <c r="D948" t="s">
        <v>979</v>
      </c>
      <c r="E948" t="s">
        <v>985</v>
      </c>
      <c r="F948" t="s">
        <v>998</v>
      </c>
      <c r="G948">
        <v>9</v>
      </c>
      <c r="H948">
        <v>250</v>
      </c>
      <c r="I948" t="s">
        <v>1003</v>
      </c>
      <c r="J948">
        <f>Table1[[#This Row],[Quantity]]*Table1[[#This Row],[Price]]*(1-Table1[[#This Row],[Discount]])</f>
        <v>1912.5</v>
      </c>
      <c r="K948">
        <f>VALUE(SUBSTITUTE(Table1[[#This Row],[Discount]],"%",""))/100</f>
        <v>0.15</v>
      </c>
    </row>
    <row r="949" spans="1:11" x14ac:dyDescent="0.35">
      <c r="A949">
        <v>1947</v>
      </c>
      <c r="B949" s="1">
        <v>45578</v>
      </c>
      <c r="C949" t="s">
        <v>928</v>
      </c>
      <c r="D949" t="s">
        <v>980</v>
      </c>
      <c r="E949" t="s">
        <v>996</v>
      </c>
      <c r="F949" t="s">
        <v>999</v>
      </c>
      <c r="G949">
        <v>3</v>
      </c>
      <c r="H949">
        <v>250</v>
      </c>
      <c r="I949" t="s">
        <v>1000</v>
      </c>
      <c r="J949">
        <f>Table1[[#This Row],[Quantity]]*Table1[[#This Row],[Price]]*(1-Table1[[#This Row],[Discount]])</f>
        <v>712.5</v>
      </c>
      <c r="K949">
        <f>VALUE(SUBSTITUTE(Table1[[#This Row],[Discount]],"%",""))/100</f>
        <v>0.05</v>
      </c>
    </row>
    <row r="950" spans="1:11" x14ac:dyDescent="0.35">
      <c r="A950">
        <v>1948</v>
      </c>
      <c r="B950" s="1">
        <v>45640</v>
      </c>
      <c r="C950" t="s">
        <v>929</v>
      </c>
      <c r="D950" t="s">
        <v>980</v>
      </c>
      <c r="E950" t="s">
        <v>990</v>
      </c>
      <c r="F950" t="s">
        <v>998</v>
      </c>
      <c r="G950">
        <v>4</v>
      </c>
      <c r="H950">
        <v>1000</v>
      </c>
      <c r="I950" t="s">
        <v>1003</v>
      </c>
      <c r="J950">
        <f>Table1[[#This Row],[Quantity]]*Table1[[#This Row],[Price]]*(1-Table1[[#This Row],[Discount]])</f>
        <v>3400</v>
      </c>
      <c r="K950">
        <f>VALUE(SUBSTITUTE(Table1[[#This Row],[Discount]],"%",""))/100</f>
        <v>0.15</v>
      </c>
    </row>
    <row r="951" spans="1:11" x14ac:dyDescent="0.35">
      <c r="A951">
        <v>1949</v>
      </c>
      <c r="B951" s="1">
        <v>45693</v>
      </c>
      <c r="C951" t="s">
        <v>930</v>
      </c>
      <c r="D951" t="s">
        <v>979</v>
      </c>
      <c r="E951" t="s">
        <v>991</v>
      </c>
      <c r="F951" t="s">
        <v>998</v>
      </c>
      <c r="G951">
        <v>8</v>
      </c>
      <c r="H951">
        <v>1000</v>
      </c>
      <c r="I951" t="s">
        <v>1000</v>
      </c>
      <c r="J951">
        <f>Table1[[#This Row],[Quantity]]*Table1[[#This Row],[Price]]*(1-Table1[[#This Row],[Discount]])</f>
        <v>7600</v>
      </c>
      <c r="K951">
        <f>VALUE(SUBSTITUTE(Table1[[#This Row],[Discount]],"%",""))/100</f>
        <v>0.05</v>
      </c>
    </row>
    <row r="952" spans="1:11" x14ac:dyDescent="0.35">
      <c r="A952">
        <v>1950</v>
      </c>
      <c r="B952" s="1">
        <v>45592</v>
      </c>
      <c r="C952" t="s">
        <v>931</v>
      </c>
      <c r="D952" t="s">
        <v>980</v>
      </c>
      <c r="E952" t="s">
        <v>983</v>
      </c>
      <c r="F952" t="s">
        <v>997</v>
      </c>
      <c r="G952">
        <v>9</v>
      </c>
      <c r="H952">
        <v>1500</v>
      </c>
      <c r="I952" t="s">
        <v>1002</v>
      </c>
      <c r="J952">
        <f>Table1[[#This Row],[Quantity]]*Table1[[#This Row],[Price]]*(1-Table1[[#This Row],[Discount]])</f>
        <v>10800</v>
      </c>
      <c r="K952">
        <f>VALUE(SUBSTITUTE(Table1[[#This Row],[Discount]],"%",""))/100</f>
        <v>0.2</v>
      </c>
    </row>
    <row r="953" spans="1:11" x14ac:dyDescent="0.35">
      <c r="A953">
        <v>1951</v>
      </c>
      <c r="B953" s="1">
        <v>45825</v>
      </c>
      <c r="C953" t="s">
        <v>932</v>
      </c>
      <c r="D953" t="s">
        <v>978</v>
      </c>
      <c r="E953" t="s">
        <v>996</v>
      </c>
      <c r="F953" t="s">
        <v>999</v>
      </c>
      <c r="G953">
        <v>6</v>
      </c>
      <c r="H953">
        <v>1000</v>
      </c>
      <c r="I953" t="s">
        <v>1003</v>
      </c>
      <c r="J953">
        <f>Table1[[#This Row],[Quantity]]*Table1[[#This Row],[Price]]*(1-Table1[[#This Row],[Discount]])</f>
        <v>5100</v>
      </c>
      <c r="K953">
        <f>VALUE(SUBSTITUTE(Table1[[#This Row],[Discount]],"%",""))/100</f>
        <v>0.15</v>
      </c>
    </row>
    <row r="954" spans="1:11" x14ac:dyDescent="0.35">
      <c r="A954">
        <v>1952</v>
      </c>
      <c r="B954" s="1">
        <v>45803</v>
      </c>
      <c r="C954" t="s">
        <v>933</v>
      </c>
      <c r="D954" t="s">
        <v>979</v>
      </c>
      <c r="E954" t="s">
        <v>996</v>
      </c>
      <c r="F954" t="s">
        <v>999</v>
      </c>
      <c r="G954">
        <v>7</v>
      </c>
      <c r="H954">
        <v>300</v>
      </c>
      <c r="I954" t="s">
        <v>1002</v>
      </c>
      <c r="J954">
        <f>Table1[[#This Row],[Quantity]]*Table1[[#This Row],[Price]]*(1-Table1[[#This Row],[Discount]])</f>
        <v>1680</v>
      </c>
      <c r="K954">
        <f>VALUE(SUBSTITUTE(Table1[[#This Row],[Discount]],"%",""))/100</f>
        <v>0.2</v>
      </c>
    </row>
    <row r="955" spans="1:11" x14ac:dyDescent="0.35">
      <c r="A955">
        <v>1953</v>
      </c>
      <c r="B955" s="1">
        <v>45600</v>
      </c>
      <c r="C955" t="s">
        <v>934</v>
      </c>
      <c r="D955" t="s">
        <v>978</v>
      </c>
      <c r="E955" t="s">
        <v>985</v>
      </c>
      <c r="F955" t="s">
        <v>998</v>
      </c>
      <c r="G955">
        <v>9</v>
      </c>
      <c r="H955">
        <v>1000</v>
      </c>
      <c r="I955" t="s">
        <v>1001</v>
      </c>
      <c r="J955">
        <f>Table1[[#This Row],[Quantity]]*Table1[[#This Row],[Price]]*(1-Table1[[#This Row],[Discount]])</f>
        <v>9000</v>
      </c>
      <c r="K955">
        <f>VALUE(SUBSTITUTE(Table1[[#This Row],[Discount]],"%",""))/100</f>
        <v>0</v>
      </c>
    </row>
    <row r="956" spans="1:11" x14ac:dyDescent="0.35">
      <c r="A956">
        <v>1954</v>
      </c>
      <c r="B956" s="1">
        <v>45603</v>
      </c>
      <c r="C956" t="s">
        <v>935</v>
      </c>
      <c r="D956" t="s">
        <v>981</v>
      </c>
      <c r="E956" t="s">
        <v>985</v>
      </c>
      <c r="F956" t="s">
        <v>998</v>
      </c>
      <c r="G956">
        <v>2</v>
      </c>
      <c r="H956">
        <v>250</v>
      </c>
      <c r="I956" t="s">
        <v>1002</v>
      </c>
      <c r="J956">
        <f>Table1[[#This Row],[Quantity]]*Table1[[#This Row],[Price]]*(1-Table1[[#This Row],[Discount]])</f>
        <v>400</v>
      </c>
      <c r="K956">
        <f>VALUE(SUBSTITUTE(Table1[[#This Row],[Discount]],"%",""))/100</f>
        <v>0.2</v>
      </c>
    </row>
    <row r="957" spans="1:11" x14ac:dyDescent="0.35">
      <c r="A957">
        <v>1955</v>
      </c>
      <c r="B957" s="1">
        <v>45516</v>
      </c>
      <c r="C957" t="s">
        <v>936</v>
      </c>
      <c r="D957" t="s">
        <v>980</v>
      </c>
      <c r="E957" t="s">
        <v>984</v>
      </c>
      <c r="F957" t="s">
        <v>998</v>
      </c>
      <c r="G957">
        <v>1</v>
      </c>
      <c r="H957">
        <v>250</v>
      </c>
      <c r="I957" t="s">
        <v>1003</v>
      </c>
      <c r="J957">
        <f>Table1[[#This Row],[Quantity]]*Table1[[#This Row],[Price]]*(1-Table1[[#This Row],[Discount]])</f>
        <v>212.5</v>
      </c>
      <c r="K957">
        <f>VALUE(SUBSTITUTE(Table1[[#This Row],[Discount]],"%",""))/100</f>
        <v>0.15</v>
      </c>
    </row>
    <row r="958" spans="1:11" x14ac:dyDescent="0.35">
      <c r="A958">
        <v>1956</v>
      </c>
      <c r="B958" s="1">
        <v>45666</v>
      </c>
      <c r="C958" t="s">
        <v>937</v>
      </c>
      <c r="D958" t="s">
        <v>981</v>
      </c>
      <c r="E958" t="s">
        <v>992</v>
      </c>
      <c r="F958" t="s">
        <v>998</v>
      </c>
      <c r="G958">
        <v>5</v>
      </c>
      <c r="H958">
        <v>250</v>
      </c>
      <c r="I958" t="s">
        <v>1000</v>
      </c>
      <c r="J958">
        <f>Table1[[#This Row],[Quantity]]*Table1[[#This Row],[Price]]*(1-Table1[[#This Row],[Discount]])</f>
        <v>1187.5</v>
      </c>
      <c r="K958">
        <f>VALUE(SUBSTITUTE(Table1[[#This Row],[Discount]],"%",""))/100</f>
        <v>0.05</v>
      </c>
    </row>
    <row r="959" spans="1:11" x14ac:dyDescent="0.35">
      <c r="A959">
        <v>1957</v>
      </c>
      <c r="B959" s="1">
        <v>45518</v>
      </c>
      <c r="C959" t="s">
        <v>938</v>
      </c>
      <c r="D959" t="s">
        <v>980</v>
      </c>
      <c r="E959" t="s">
        <v>991</v>
      </c>
      <c r="F959" t="s">
        <v>998</v>
      </c>
      <c r="G959">
        <v>4</v>
      </c>
      <c r="H959">
        <v>4500</v>
      </c>
      <c r="I959" t="s">
        <v>1000</v>
      </c>
      <c r="J959">
        <f>Table1[[#This Row],[Quantity]]*Table1[[#This Row],[Price]]*(1-Table1[[#This Row],[Discount]])</f>
        <v>17100</v>
      </c>
      <c r="K959">
        <f>VALUE(SUBSTITUTE(Table1[[#This Row],[Discount]],"%",""))/100</f>
        <v>0.05</v>
      </c>
    </row>
    <row r="960" spans="1:11" x14ac:dyDescent="0.35">
      <c r="A960">
        <v>1958</v>
      </c>
      <c r="B960" s="1">
        <v>45628</v>
      </c>
      <c r="C960" t="s">
        <v>939</v>
      </c>
      <c r="D960" t="s">
        <v>979</v>
      </c>
      <c r="E960" t="s">
        <v>991</v>
      </c>
      <c r="F960" t="s">
        <v>998</v>
      </c>
      <c r="G960">
        <v>2</v>
      </c>
      <c r="H960">
        <v>300</v>
      </c>
      <c r="I960" t="s">
        <v>1004</v>
      </c>
      <c r="J960">
        <f>Table1[[#This Row],[Quantity]]*Table1[[#This Row],[Price]]*(1-Table1[[#This Row],[Discount]])</f>
        <v>540</v>
      </c>
      <c r="K960">
        <f>VALUE(SUBSTITUTE(Table1[[#This Row],[Discount]],"%",""))/100</f>
        <v>0.1</v>
      </c>
    </row>
    <row r="961" spans="1:11" x14ac:dyDescent="0.35">
      <c r="A961">
        <v>1959</v>
      </c>
      <c r="B961" s="1">
        <v>45842</v>
      </c>
      <c r="C961" t="s">
        <v>940</v>
      </c>
      <c r="D961" t="s">
        <v>978</v>
      </c>
      <c r="E961" t="s">
        <v>985</v>
      </c>
      <c r="F961" t="s">
        <v>998</v>
      </c>
      <c r="G961">
        <v>3</v>
      </c>
      <c r="H961">
        <v>4500</v>
      </c>
      <c r="I961" t="s">
        <v>1004</v>
      </c>
      <c r="J961">
        <f>Table1[[#This Row],[Quantity]]*Table1[[#This Row],[Price]]*(1-Table1[[#This Row],[Discount]])</f>
        <v>12150</v>
      </c>
      <c r="K961">
        <f>VALUE(SUBSTITUTE(Table1[[#This Row],[Discount]],"%",""))/100</f>
        <v>0.1</v>
      </c>
    </row>
    <row r="962" spans="1:11" x14ac:dyDescent="0.35">
      <c r="A962">
        <v>1960</v>
      </c>
      <c r="B962" s="1">
        <v>45545</v>
      </c>
      <c r="C962" t="s">
        <v>941</v>
      </c>
      <c r="D962" t="s">
        <v>981</v>
      </c>
      <c r="E962" t="s">
        <v>984</v>
      </c>
      <c r="F962" t="s">
        <v>998</v>
      </c>
      <c r="G962">
        <v>1</v>
      </c>
      <c r="H962">
        <v>250</v>
      </c>
      <c r="I962" t="s">
        <v>1003</v>
      </c>
      <c r="J962">
        <f>Table1[[#This Row],[Quantity]]*Table1[[#This Row],[Price]]*(1-Table1[[#This Row],[Discount]])</f>
        <v>212.5</v>
      </c>
      <c r="K962">
        <f>VALUE(SUBSTITUTE(Table1[[#This Row],[Discount]],"%",""))/100</f>
        <v>0.15</v>
      </c>
    </row>
    <row r="963" spans="1:11" x14ac:dyDescent="0.35">
      <c r="A963">
        <v>1961</v>
      </c>
      <c r="B963" s="1">
        <v>45650</v>
      </c>
      <c r="C963" t="s">
        <v>942</v>
      </c>
      <c r="D963" t="s">
        <v>978</v>
      </c>
      <c r="E963" t="s">
        <v>988</v>
      </c>
      <c r="F963" t="s">
        <v>999</v>
      </c>
      <c r="G963">
        <v>4</v>
      </c>
      <c r="H963">
        <v>1500</v>
      </c>
      <c r="I963" t="s">
        <v>1000</v>
      </c>
      <c r="J963">
        <f>Table1[[#This Row],[Quantity]]*Table1[[#This Row],[Price]]*(1-Table1[[#This Row],[Discount]])</f>
        <v>5700</v>
      </c>
      <c r="K963">
        <f>VALUE(SUBSTITUTE(Table1[[#This Row],[Discount]],"%",""))/100</f>
        <v>0.05</v>
      </c>
    </row>
    <row r="964" spans="1:11" x14ac:dyDescent="0.35">
      <c r="A964">
        <v>1962</v>
      </c>
      <c r="B964" s="1">
        <v>45845</v>
      </c>
      <c r="C964" t="s">
        <v>943</v>
      </c>
      <c r="D964" t="s">
        <v>978</v>
      </c>
      <c r="E964" t="s">
        <v>988</v>
      </c>
      <c r="F964" t="s">
        <v>999</v>
      </c>
      <c r="G964">
        <v>2</v>
      </c>
      <c r="H964">
        <v>500</v>
      </c>
      <c r="I964" t="s">
        <v>1001</v>
      </c>
      <c r="J964">
        <f>Table1[[#This Row],[Quantity]]*Table1[[#This Row],[Price]]*(1-Table1[[#This Row],[Discount]])</f>
        <v>1000</v>
      </c>
      <c r="K964">
        <f>VALUE(SUBSTITUTE(Table1[[#This Row],[Discount]],"%",""))/100</f>
        <v>0</v>
      </c>
    </row>
    <row r="965" spans="1:11" x14ac:dyDescent="0.35">
      <c r="A965">
        <v>1963</v>
      </c>
      <c r="B965" s="1">
        <v>45523</v>
      </c>
      <c r="C965" t="s">
        <v>944</v>
      </c>
      <c r="D965" t="s">
        <v>978</v>
      </c>
      <c r="E965" t="s">
        <v>993</v>
      </c>
      <c r="F965" t="s">
        <v>999</v>
      </c>
      <c r="G965">
        <v>9</v>
      </c>
      <c r="H965">
        <v>500</v>
      </c>
      <c r="I965" t="s">
        <v>1002</v>
      </c>
      <c r="J965">
        <f>Table1[[#This Row],[Quantity]]*Table1[[#This Row],[Price]]*(1-Table1[[#This Row],[Discount]])</f>
        <v>3600</v>
      </c>
      <c r="K965">
        <f>VALUE(SUBSTITUTE(Table1[[#This Row],[Discount]],"%",""))/100</f>
        <v>0.2</v>
      </c>
    </row>
    <row r="966" spans="1:11" x14ac:dyDescent="0.35">
      <c r="A966">
        <v>1964</v>
      </c>
      <c r="B966" s="1">
        <v>45688</v>
      </c>
      <c r="C966" t="s">
        <v>945</v>
      </c>
      <c r="E966" t="s">
        <v>990</v>
      </c>
      <c r="F966" t="s">
        <v>998</v>
      </c>
      <c r="G966">
        <v>2</v>
      </c>
      <c r="H966">
        <v>1500</v>
      </c>
      <c r="I966" t="s">
        <v>1004</v>
      </c>
      <c r="J966">
        <f>Table1[[#This Row],[Quantity]]*Table1[[#This Row],[Price]]*(1-Table1[[#This Row],[Discount]])</f>
        <v>2700</v>
      </c>
      <c r="K966">
        <f>VALUE(SUBSTITUTE(Table1[[#This Row],[Discount]],"%",""))/100</f>
        <v>0.1</v>
      </c>
    </row>
    <row r="967" spans="1:11" x14ac:dyDescent="0.35">
      <c r="A967">
        <v>1965</v>
      </c>
      <c r="B967" s="1">
        <v>45648</v>
      </c>
      <c r="C967" t="s">
        <v>946</v>
      </c>
      <c r="D967" t="s">
        <v>981</v>
      </c>
      <c r="E967" t="s">
        <v>984</v>
      </c>
      <c r="F967" t="s">
        <v>998</v>
      </c>
      <c r="G967">
        <v>4</v>
      </c>
      <c r="H967">
        <v>250</v>
      </c>
      <c r="I967" t="s">
        <v>1004</v>
      </c>
      <c r="J967">
        <f>Table1[[#This Row],[Quantity]]*Table1[[#This Row],[Price]]*(1-Table1[[#This Row],[Discount]])</f>
        <v>900</v>
      </c>
      <c r="K967">
        <f>VALUE(SUBSTITUTE(Table1[[#This Row],[Discount]],"%",""))/100</f>
        <v>0.1</v>
      </c>
    </row>
    <row r="968" spans="1:11" x14ac:dyDescent="0.35">
      <c r="A968">
        <v>1966</v>
      </c>
      <c r="B968" s="1">
        <v>45842</v>
      </c>
      <c r="C968" t="s">
        <v>947</v>
      </c>
      <c r="D968" t="s">
        <v>979</v>
      </c>
      <c r="E968" t="s">
        <v>994</v>
      </c>
      <c r="F968" t="s">
        <v>997</v>
      </c>
      <c r="G968">
        <v>2</v>
      </c>
      <c r="H968">
        <v>300</v>
      </c>
      <c r="I968" t="s">
        <v>1004</v>
      </c>
      <c r="J968">
        <f>Table1[[#This Row],[Quantity]]*Table1[[#This Row],[Price]]*(1-Table1[[#This Row],[Discount]])</f>
        <v>540</v>
      </c>
      <c r="K968">
        <f>VALUE(SUBSTITUTE(Table1[[#This Row],[Discount]],"%",""))/100</f>
        <v>0.1</v>
      </c>
    </row>
    <row r="969" spans="1:11" x14ac:dyDescent="0.35">
      <c r="A969">
        <v>1967</v>
      </c>
      <c r="B969" s="1">
        <v>45858</v>
      </c>
      <c r="C969" t="s">
        <v>1005</v>
      </c>
      <c r="D969" t="s">
        <v>980</v>
      </c>
      <c r="E969" t="s">
        <v>983</v>
      </c>
      <c r="F969" t="s">
        <v>997</v>
      </c>
      <c r="G969">
        <v>6</v>
      </c>
      <c r="H969">
        <v>300</v>
      </c>
      <c r="I969" t="s">
        <v>1004</v>
      </c>
      <c r="J969">
        <f>Table1[[#This Row],[Quantity]]*Table1[[#This Row],[Price]]*(1-Table1[[#This Row],[Discount]])</f>
        <v>1620</v>
      </c>
      <c r="K969">
        <f>VALUE(SUBSTITUTE(Table1[[#This Row],[Discount]],"%",""))/100</f>
        <v>0.1</v>
      </c>
    </row>
    <row r="970" spans="1:11" x14ac:dyDescent="0.35">
      <c r="A970">
        <v>1968</v>
      </c>
      <c r="B970" s="1">
        <v>45755</v>
      </c>
      <c r="C970" t="s">
        <v>948</v>
      </c>
      <c r="D970" t="s">
        <v>979</v>
      </c>
      <c r="E970" t="s">
        <v>996</v>
      </c>
      <c r="F970" t="s">
        <v>999</v>
      </c>
      <c r="G970">
        <v>9</v>
      </c>
      <c r="H970">
        <v>500</v>
      </c>
      <c r="I970" t="s">
        <v>1002</v>
      </c>
      <c r="J970">
        <f>Table1[[#This Row],[Quantity]]*Table1[[#This Row],[Price]]*(1-Table1[[#This Row],[Discount]])</f>
        <v>3600</v>
      </c>
      <c r="K970">
        <f>VALUE(SUBSTITUTE(Table1[[#This Row],[Discount]],"%",""))/100</f>
        <v>0.2</v>
      </c>
    </row>
    <row r="971" spans="1:11" x14ac:dyDescent="0.35">
      <c r="A971">
        <v>1969</v>
      </c>
      <c r="B971" s="1">
        <v>45799</v>
      </c>
      <c r="C971" t="s">
        <v>949</v>
      </c>
      <c r="D971" t="s">
        <v>979</v>
      </c>
      <c r="E971" t="s">
        <v>988</v>
      </c>
      <c r="F971" t="s">
        <v>999</v>
      </c>
      <c r="G971">
        <v>7</v>
      </c>
      <c r="H971">
        <v>500</v>
      </c>
      <c r="I971" t="s">
        <v>1002</v>
      </c>
      <c r="J971">
        <f>Table1[[#This Row],[Quantity]]*Table1[[#This Row],[Price]]*(1-Table1[[#This Row],[Discount]])</f>
        <v>2800</v>
      </c>
      <c r="K971">
        <f>VALUE(SUBSTITUTE(Table1[[#This Row],[Discount]],"%",""))/100</f>
        <v>0.2</v>
      </c>
    </row>
    <row r="972" spans="1:11" x14ac:dyDescent="0.35">
      <c r="A972">
        <v>1970</v>
      </c>
      <c r="B972" s="1">
        <v>45761</v>
      </c>
      <c r="C972" t="s">
        <v>950</v>
      </c>
      <c r="D972" t="s">
        <v>980</v>
      </c>
      <c r="E972" t="s">
        <v>984</v>
      </c>
      <c r="F972" t="s">
        <v>998</v>
      </c>
      <c r="G972">
        <v>4</v>
      </c>
      <c r="H972">
        <v>100</v>
      </c>
      <c r="I972" t="s">
        <v>1000</v>
      </c>
      <c r="J972">
        <f>Table1[[#This Row],[Quantity]]*Table1[[#This Row],[Price]]*(1-Table1[[#This Row],[Discount]])</f>
        <v>380</v>
      </c>
      <c r="K972">
        <f>VALUE(SUBSTITUTE(Table1[[#This Row],[Discount]],"%",""))/100</f>
        <v>0.05</v>
      </c>
    </row>
    <row r="973" spans="1:11" x14ac:dyDescent="0.35">
      <c r="A973">
        <v>1971</v>
      </c>
      <c r="B973" s="1">
        <v>45741</v>
      </c>
      <c r="C973" t="s">
        <v>715</v>
      </c>
      <c r="D973" t="s">
        <v>979</v>
      </c>
      <c r="E973" t="s">
        <v>982</v>
      </c>
      <c r="F973" t="s">
        <v>997</v>
      </c>
      <c r="G973">
        <v>9</v>
      </c>
      <c r="H973">
        <v>2500</v>
      </c>
      <c r="I973" t="s">
        <v>1004</v>
      </c>
      <c r="J973">
        <f>Table1[[#This Row],[Quantity]]*Table1[[#This Row],[Price]]*(1-Table1[[#This Row],[Discount]])</f>
        <v>20250</v>
      </c>
      <c r="K973">
        <f>VALUE(SUBSTITUTE(Table1[[#This Row],[Discount]],"%",""))/100</f>
        <v>0.1</v>
      </c>
    </row>
    <row r="974" spans="1:11" x14ac:dyDescent="0.35">
      <c r="A974">
        <v>1972</v>
      </c>
      <c r="B974" s="1">
        <v>45635</v>
      </c>
      <c r="C974" t="s">
        <v>951</v>
      </c>
      <c r="D974" t="s">
        <v>980</v>
      </c>
      <c r="E974" t="s">
        <v>991</v>
      </c>
      <c r="F974" t="s">
        <v>998</v>
      </c>
      <c r="G974">
        <v>1</v>
      </c>
      <c r="H974">
        <v>500</v>
      </c>
      <c r="I974" t="s">
        <v>1000</v>
      </c>
      <c r="J974">
        <f>Table1[[#This Row],[Quantity]]*Table1[[#This Row],[Price]]*(1-Table1[[#This Row],[Discount]])</f>
        <v>475</v>
      </c>
      <c r="K974">
        <f>VALUE(SUBSTITUTE(Table1[[#This Row],[Discount]],"%",""))/100</f>
        <v>0.05</v>
      </c>
    </row>
    <row r="975" spans="1:11" x14ac:dyDescent="0.35">
      <c r="A975">
        <v>1973</v>
      </c>
      <c r="B975" s="1">
        <v>45821</v>
      </c>
      <c r="C975" t="s">
        <v>952</v>
      </c>
      <c r="D975" t="s">
        <v>978</v>
      </c>
      <c r="E975" t="s">
        <v>984</v>
      </c>
      <c r="F975" t="s">
        <v>998</v>
      </c>
      <c r="G975">
        <v>2</v>
      </c>
      <c r="H975">
        <v>500</v>
      </c>
      <c r="I975" t="s">
        <v>1001</v>
      </c>
      <c r="J975">
        <f>Table1[[#This Row],[Quantity]]*Table1[[#This Row],[Price]]*(1-Table1[[#This Row],[Discount]])</f>
        <v>1000</v>
      </c>
      <c r="K975">
        <f>VALUE(SUBSTITUTE(Table1[[#This Row],[Discount]],"%",""))/100</f>
        <v>0</v>
      </c>
    </row>
    <row r="976" spans="1:11" x14ac:dyDescent="0.35">
      <c r="A976">
        <v>1974</v>
      </c>
      <c r="B976" s="1">
        <v>45750</v>
      </c>
      <c r="C976" t="s">
        <v>953</v>
      </c>
      <c r="D976" t="s">
        <v>980</v>
      </c>
      <c r="E976" t="s">
        <v>983</v>
      </c>
      <c r="F976" t="s">
        <v>997</v>
      </c>
      <c r="G976">
        <v>4</v>
      </c>
      <c r="H976">
        <v>250</v>
      </c>
      <c r="I976" t="s">
        <v>1003</v>
      </c>
      <c r="J976">
        <f>Table1[[#This Row],[Quantity]]*Table1[[#This Row],[Price]]*(1-Table1[[#This Row],[Discount]])</f>
        <v>850</v>
      </c>
      <c r="K976">
        <f>VALUE(SUBSTITUTE(Table1[[#This Row],[Discount]],"%",""))/100</f>
        <v>0.15</v>
      </c>
    </row>
    <row r="977" spans="1:11" x14ac:dyDescent="0.35">
      <c r="A977">
        <v>1975</v>
      </c>
      <c r="B977" s="1">
        <v>45693</v>
      </c>
      <c r="C977" t="s">
        <v>954</v>
      </c>
      <c r="D977" t="s">
        <v>980</v>
      </c>
      <c r="E977" t="s">
        <v>991</v>
      </c>
      <c r="F977" t="s">
        <v>998</v>
      </c>
      <c r="G977">
        <v>4</v>
      </c>
      <c r="H977">
        <v>1000</v>
      </c>
      <c r="I977" t="s">
        <v>1004</v>
      </c>
      <c r="J977">
        <f>Table1[[#This Row],[Quantity]]*Table1[[#This Row],[Price]]*(1-Table1[[#This Row],[Discount]])</f>
        <v>3600</v>
      </c>
      <c r="K977">
        <f>VALUE(SUBSTITUTE(Table1[[#This Row],[Discount]],"%",""))/100</f>
        <v>0.1</v>
      </c>
    </row>
    <row r="978" spans="1:11" x14ac:dyDescent="0.35">
      <c r="A978">
        <v>1976</v>
      </c>
      <c r="B978" s="1">
        <v>45594</v>
      </c>
      <c r="C978" t="s">
        <v>955</v>
      </c>
      <c r="D978" t="s">
        <v>978</v>
      </c>
      <c r="E978" t="s">
        <v>987</v>
      </c>
      <c r="F978" t="s">
        <v>999</v>
      </c>
      <c r="G978">
        <v>6</v>
      </c>
      <c r="H978">
        <v>2500</v>
      </c>
      <c r="I978" t="s">
        <v>1003</v>
      </c>
      <c r="J978">
        <f>Table1[[#This Row],[Quantity]]*Table1[[#This Row],[Price]]*(1-Table1[[#This Row],[Discount]])</f>
        <v>12750</v>
      </c>
      <c r="K978">
        <f>VALUE(SUBSTITUTE(Table1[[#This Row],[Discount]],"%",""))/100</f>
        <v>0.15</v>
      </c>
    </row>
    <row r="979" spans="1:11" x14ac:dyDescent="0.35">
      <c r="A979">
        <v>1977</v>
      </c>
      <c r="B979" s="1">
        <v>45714</v>
      </c>
      <c r="C979" t="s">
        <v>956</v>
      </c>
      <c r="D979" t="s">
        <v>980</v>
      </c>
      <c r="E979" t="s">
        <v>988</v>
      </c>
      <c r="F979" t="s">
        <v>999</v>
      </c>
      <c r="G979">
        <v>8</v>
      </c>
      <c r="H979">
        <v>100</v>
      </c>
      <c r="I979" t="s">
        <v>1003</v>
      </c>
      <c r="J979">
        <f>Table1[[#This Row],[Quantity]]*Table1[[#This Row],[Price]]*(1-Table1[[#This Row],[Discount]])</f>
        <v>680</v>
      </c>
      <c r="K979">
        <f>VALUE(SUBSTITUTE(Table1[[#This Row],[Discount]],"%",""))/100</f>
        <v>0.15</v>
      </c>
    </row>
    <row r="980" spans="1:11" x14ac:dyDescent="0.35">
      <c r="A980">
        <v>1978</v>
      </c>
      <c r="B980" s="1">
        <v>45679</v>
      </c>
      <c r="C980" t="s">
        <v>957</v>
      </c>
      <c r="D980" t="s">
        <v>980</v>
      </c>
      <c r="E980" t="s">
        <v>995</v>
      </c>
      <c r="F980" t="s">
        <v>997</v>
      </c>
      <c r="G980">
        <v>3</v>
      </c>
      <c r="H980">
        <v>300</v>
      </c>
      <c r="I980" t="s">
        <v>1004</v>
      </c>
      <c r="J980">
        <f>Table1[[#This Row],[Quantity]]*Table1[[#This Row],[Price]]*(1-Table1[[#This Row],[Discount]])</f>
        <v>810</v>
      </c>
      <c r="K980">
        <f>VALUE(SUBSTITUTE(Table1[[#This Row],[Discount]],"%",""))/100</f>
        <v>0.1</v>
      </c>
    </row>
    <row r="981" spans="1:11" x14ac:dyDescent="0.35">
      <c r="A981">
        <v>1979</v>
      </c>
      <c r="B981" s="1">
        <v>45694</v>
      </c>
      <c r="C981" t="s">
        <v>958</v>
      </c>
      <c r="D981" t="s">
        <v>980</v>
      </c>
      <c r="E981" t="s">
        <v>994</v>
      </c>
      <c r="F981" t="s">
        <v>997</v>
      </c>
      <c r="G981">
        <v>2</v>
      </c>
      <c r="H981">
        <v>1354.67</v>
      </c>
      <c r="I981" t="s">
        <v>1000</v>
      </c>
      <c r="J981">
        <f>Table1[[#This Row],[Quantity]]*Table1[[#This Row],[Price]]*(1-Table1[[#This Row],[Discount]])</f>
        <v>2573.873</v>
      </c>
      <c r="K981">
        <f>VALUE(SUBSTITUTE(Table1[[#This Row],[Discount]],"%",""))/100</f>
        <v>0.05</v>
      </c>
    </row>
    <row r="982" spans="1:11" x14ac:dyDescent="0.35">
      <c r="A982">
        <v>1980</v>
      </c>
      <c r="B982" s="1">
        <v>45754</v>
      </c>
      <c r="C982" t="s">
        <v>959</v>
      </c>
      <c r="D982" t="s">
        <v>980</v>
      </c>
      <c r="E982" t="s">
        <v>986</v>
      </c>
      <c r="F982" t="s">
        <v>997</v>
      </c>
      <c r="G982">
        <v>8</v>
      </c>
      <c r="H982">
        <v>2500</v>
      </c>
      <c r="I982" t="s">
        <v>1003</v>
      </c>
      <c r="J982">
        <f>Table1[[#This Row],[Quantity]]*Table1[[#This Row],[Price]]*(1-Table1[[#This Row],[Discount]])</f>
        <v>17000</v>
      </c>
      <c r="K982">
        <f>VALUE(SUBSTITUTE(Table1[[#This Row],[Discount]],"%",""))/100</f>
        <v>0.15</v>
      </c>
    </row>
    <row r="983" spans="1:11" x14ac:dyDescent="0.35">
      <c r="A983">
        <v>1981</v>
      </c>
      <c r="B983" s="1">
        <v>45714</v>
      </c>
      <c r="C983" t="s">
        <v>960</v>
      </c>
      <c r="D983" t="s">
        <v>979</v>
      </c>
      <c r="E983" t="s">
        <v>995</v>
      </c>
      <c r="F983" t="s">
        <v>997</v>
      </c>
      <c r="G983">
        <v>2</v>
      </c>
      <c r="H983">
        <v>2500</v>
      </c>
      <c r="I983" t="s">
        <v>1001</v>
      </c>
      <c r="J983">
        <f>Table1[[#This Row],[Quantity]]*Table1[[#This Row],[Price]]*(1-Table1[[#This Row],[Discount]])</f>
        <v>5000</v>
      </c>
      <c r="K983">
        <f>VALUE(SUBSTITUTE(Table1[[#This Row],[Discount]],"%",""))/100</f>
        <v>0</v>
      </c>
    </row>
    <row r="984" spans="1:11" x14ac:dyDescent="0.35">
      <c r="A984">
        <v>1982</v>
      </c>
      <c r="B984" s="1">
        <v>45741</v>
      </c>
      <c r="C984" t="s">
        <v>961</v>
      </c>
      <c r="D984" t="s">
        <v>979</v>
      </c>
      <c r="E984" t="s">
        <v>993</v>
      </c>
      <c r="F984" t="s">
        <v>999</v>
      </c>
      <c r="G984">
        <v>6</v>
      </c>
      <c r="H984">
        <v>4500</v>
      </c>
      <c r="I984" t="s">
        <v>1004</v>
      </c>
      <c r="J984">
        <f>Table1[[#This Row],[Quantity]]*Table1[[#This Row],[Price]]*(1-Table1[[#This Row],[Discount]])</f>
        <v>24300</v>
      </c>
      <c r="K984">
        <f>VALUE(SUBSTITUTE(Table1[[#This Row],[Discount]],"%",""))/100</f>
        <v>0.1</v>
      </c>
    </row>
    <row r="985" spans="1:11" x14ac:dyDescent="0.35">
      <c r="A985">
        <v>1983</v>
      </c>
      <c r="B985" s="1">
        <v>45755</v>
      </c>
      <c r="C985" t="s">
        <v>962</v>
      </c>
      <c r="D985" t="s">
        <v>978</v>
      </c>
      <c r="E985" t="s">
        <v>984</v>
      </c>
      <c r="F985" t="s">
        <v>998</v>
      </c>
      <c r="G985">
        <v>1</v>
      </c>
      <c r="H985">
        <v>1500</v>
      </c>
      <c r="I985" t="s">
        <v>1001</v>
      </c>
      <c r="J985">
        <f>Table1[[#This Row],[Quantity]]*Table1[[#This Row],[Price]]*(1-Table1[[#This Row],[Discount]])</f>
        <v>1500</v>
      </c>
      <c r="K985">
        <f>VALUE(SUBSTITUTE(Table1[[#This Row],[Discount]],"%",""))/100</f>
        <v>0</v>
      </c>
    </row>
    <row r="986" spans="1:11" x14ac:dyDescent="0.35">
      <c r="A986">
        <v>1984</v>
      </c>
      <c r="B986" s="1">
        <v>45522</v>
      </c>
      <c r="C986" t="s">
        <v>963</v>
      </c>
      <c r="D986" t="s">
        <v>979</v>
      </c>
      <c r="E986" t="s">
        <v>988</v>
      </c>
      <c r="F986" t="s">
        <v>999</v>
      </c>
      <c r="G986">
        <v>10</v>
      </c>
      <c r="H986">
        <v>300</v>
      </c>
      <c r="I986" t="s">
        <v>1001</v>
      </c>
      <c r="J986">
        <f>Table1[[#This Row],[Quantity]]*Table1[[#This Row],[Price]]*(1-Table1[[#This Row],[Discount]])</f>
        <v>3000</v>
      </c>
      <c r="K986">
        <f>VALUE(SUBSTITUTE(Table1[[#This Row],[Discount]],"%",""))/100</f>
        <v>0</v>
      </c>
    </row>
    <row r="987" spans="1:11" x14ac:dyDescent="0.35">
      <c r="A987">
        <v>1985</v>
      </c>
      <c r="B987" s="1">
        <v>45799</v>
      </c>
      <c r="C987" t="s">
        <v>964</v>
      </c>
      <c r="D987" t="s">
        <v>978</v>
      </c>
      <c r="E987" t="s">
        <v>989</v>
      </c>
      <c r="F987" t="s">
        <v>999</v>
      </c>
      <c r="G987">
        <v>2</v>
      </c>
      <c r="H987">
        <v>500</v>
      </c>
      <c r="I987" t="s">
        <v>1003</v>
      </c>
      <c r="J987">
        <f>Table1[[#This Row],[Quantity]]*Table1[[#This Row],[Price]]*(1-Table1[[#This Row],[Discount]])</f>
        <v>850</v>
      </c>
      <c r="K987">
        <f>VALUE(SUBSTITUTE(Table1[[#This Row],[Discount]],"%",""))/100</f>
        <v>0.15</v>
      </c>
    </row>
    <row r="988" spans="1:11" x14ac:dyDescent="0.35">
      <c r="A988">
        <v>1986</v>
      </c>
      <c r="B988" s="1">
        <v>45779</v>
      </c>
      <c r="C988" t="s">
        <v>965</v>
      </c>
      <c r="D988" t="s">
        <v>979</v>
      </c>
      <c r="E988" t="s">
        <v>994</v>
      </c>
      <c r="F988" t="s">
        <v>997</v>
      </c>
      <c r="G988">
        <v>10</v>
      </c>
      <c r="H988">
        <v>1000</v>
      </c>
      <c r="I988" t="s">
        <v>1003</v>
      </c>
      <c r="J988">
        <f>Table1[[#This Row],[Quantity]]*Table1[[#This Row],[Price]]*(1-Table1[[#This Row],[Discount]])</f>
        <v>8500</v>
      </c>
      <c r="K988">
        <f>VALUE(SUBSTITUTE(Table1[[#This Row],[Discount]],"%",""))/100</f>
        <v>0.15</v>
      </c>
    </row>
    <row r="989" spans="1:11" x14ac:dyDescent="0.35">
      <c r="A989">
        <v>1987</v>
      </c>
      <c r="B989" s="1">
        <v>45501</v>
      </c>
      <c r="C989" t="s">
        <v>966</v>
      </c>
      <c r="D989" t="s">
        <v>979</v>
      </c>
      <c r="E989" t="s">
        <v>985</v>
      </c>
      <c r="F989" t="s">
        <v>998</v>
      </c>
      <c r="G989">
        <v>4</v>
      </c>
      <c r="H989">
        <v>1354.67</v>
      </c>
      <c r="I989" t="s">
        <v>1004</v>
      </c>
      <c r="J989">
        <f>Table1[[#This Row],[Quantity]]*Table1[[#This Row],[Price]]*(1-Table1[[#This Row],[Discount]])</f>
        <v>4876.8120000000008</v>
      </c>
      <c r="K989">
        <f>VALUE(SUBSTITUTE(Table1[[#This Row],[Discount]],"%",""))/100</f>
        <v>0.1</v>
      </c>
    </row>
    <row r="990" spans="1:11" x14ac:dyDescent="0.35">
      <c r="A990">
        <v>1988</v>
      </c>
      <c r="B990" s="1">
        <v>45614</v>
      </c>
      <c r="C990" t="s">
        <v>967</v>
      </c>
      <c r="D990" t="s">
        <v>980</v>
      </c>
      <c r="E990" t="s">
        <v>984</v>
      </c>
      <c r="F990" t="s">
        <v>998</v>
      </c>
      <c r="G990">
        <v>9</v>
      </c>
      <c r="H990">
        <v>2500</v>
      </c>
      <c r="I990" t="s">
        <v>1004</v>
      </c>
      <c r="J990">
        <f>Table1[[#This Row],[Quantity]]*Table1[[#This Row],[Price]]*(1-Table1[[#This Row],[Discount]])</f>
        <v>20250</v>
      </c>
      <c r="K990">
        <f>VALUE(SUBSTITUTE(Table1[[#This Row],[Discount]],"%",""))/100</f>
        <v>0.1</v>
      </c>
    </row>
    <row r="991" spans="1:11" x14ac:dyDescent="0.35">
      <c r="A991">
        <v>1989</v>
      </c>
      <c r="B991" s="1">
        <v>45849</v>
      </c>
      <c r="C991" t="s">
        <v>968</v>
      </c>
      <c r="D991" t="s">
        <v>978</v>
      </c>
      <c r="E991" t="s">
        <v>984</v>
      </c>
      <c r="F991" t="s">
        <v>998</v>
      </c>
      <c r="G991">
        <v>3</v>
      </c>
      <c r="H991">
        <v>250</v>
      </c>
      <c r="I991" t="s">
        <v>1003</v>
      </c>
      <c r="J991">
        <f>Table1[[#This Row],[Quantity]]*Table1[[#This Row],[Price]]*(1-Table1[[#This Row],[Discount]])</f>
        <v>637.5</v>
      </c>
      <c r="K991">
        <f>VALUE(SUBSTITUTE(Table1[[#This Row],[Discount]],"%",""))/100</f>
        <v>0.15</v>
      </c>
    </row>
    <row r="992" spans="1:11" x14ac:dyDescent="0.35">
      <c r="A992">
        <v>1990</v>
      </c>
      <c r="B992" s="1">
        <v>45781</v>
      </c>
      <c r="C992" t="s">
        <v>969</v>
      </c>
      <c r="D992" t="s">
        <v>979</v>
      </c>
      <c r="E992" t="s">
        <v>985</v>
      </c>
      <c r="F992" t="s">
        <v>998</v>
      </c>
      <c r="G992">
        <v>7</v>
      </c>
      <c r="H992">
        <v>4500</v>
      </c>
      <c r="I992" t="s">
        <v>1002</v>
      </c>
      <c r="J992">
        <f>Table1[[#This Row],[Quantity]]*Table1[[#This Row],[Price]]*(1-Table1[[#This Row],[Discount]])</f>
        <v>25200</v>
      </c>
      <c r="K992">
        <f>VALUE(SUBSTITUTE(Table1[[#This Row],[Discount]],"%",""))/100</f>
        <v>0.2</v>
      </c>
    </row>
    <row r="993" spans="1:11" x14ac:dyDescent="0.35">
      <c r="A993">
        <v>1991</v>
      </c>
      <c r="B993" s="1">
        <v>45547</v>
      </c>
      <c r="C993" t="s">
        <v>970</v>
      </c>
      <c r="D993" t="s">
        <v>979</v>
      </c>
      <c r="E993" t="s">
        <v>987</v>
      </c>
      <c r="F993" t="s">
        <v>999</v>
      </c>
      <c r="G993">
        <v>5</v>
      </c>
      <c r="H993">
        <v>250</v>
      </c>
      <c r="I993" t="s">
        <v>1004</v>
      </c>
      <c r="J993">
        <f>Table1[[#This Row],[Quantity]]*Table1[[#This Row],[Price]]*(1-Table1[[#This Row],[Discount]])</f>
        <v>1125</v>
      </c>
      <c r="K993">
        <f>VALUE(SUBSTITUTE(Table1[[#This Row],[Discount]],"%",""))/100</f>
        <v>0.1</v>
      </c>
    </row>
    <row r="994" spans="1:11" x14ac:dyDescent="0.35">
      <c r="A994">
        <v>1992</v>
      </c>
      <c r="B994" s="1">
        <v>45804</v>
      </c>
      <c r="C994" t="s">
        <v>971</v>
      </c>
      <c r="D994" t="s">
        <v>979</v>
      </c>
      <c r="E994" t="s">
        <v>992</v>
      </c>
      <c r="F994" t="s">
        <v>998</v>
      </c>
      <c r="G994">
        <v>1</v>
      </c>
      <c r="H994">
        <v>1354.67</v>
      </c>
      <c r="I994" t="s">
        <v>1001</v>
      </c>
      <c r="J994">
        <f>Table1[[#This Row],[Quantity]]*Table1[[#This Row],[Price]]*(1-Table1[[#This Row],[Discount]])</f>
        <v>1354.67</v>
      </c>
      <c r="K994">
        <f>VALUE(SUBSTITUTE(Table1[[#This Row],[Discount]],"%",""))/100</f>
        <v>0</v>
      </c>
    </row>
    <row r="995" spans="1:11" x14ac:dyDescent="0.35">
      <c r="A995">
        <v>1993</v>
      </c>
      <c r="B995" s="1">
        <v>45519</v>
      </c>
      <c r="C995" t="s">
        <v>972</v>
      </c>
      <c r="D995" t="s">
        <v>981</v>
      </c>
      <c r="E995" t="s">
        <v>995</v>
      </c>
      <c r="F995" t="s">
        <v>997</v>
      </c>
      <c r="G995">
        <v>5</v>
      </c>
      <c r="H995">
        <v>4500</v>
      </c>
      <c r="I995" t="s">
        <v>1003</v>
      </c>
      <c r="J995">
        <f>Table1[[#This Row],[Quantity]]*Table1[[#This Row],[Price]]*(1-Table1[[#This Row],[Discount]])</f>
        <v>19125</v>
      </c>
      <c r="K995">
        <f>VALUE(SUBSTITUTE(Table1[[#This Row],[Discount]],"%",""))/100</f>
        <v>0.15</v>
      </c>
    </row>
    <row r="996" spans="1:11" x14ac:dyDescent="0.35">
      <c r="A996">
        <v>1994</v>
      </c>
      <c r="B996" s="1">
        <v>45800</v>
      </c>
      <c r="C996" t="s">
        <v>973</v>
      </c>
      <c r="D996" t="s">
        <v>980</v>
      </c>
      <c r="E996" t="s">
        <v>993</v>
      </c>
      <c r="F996" t="s">
        <v>999</v>
      </c>
      <c r="G996">
        <v>4</v>
      </c>
      <c r="H996">
        <v>1500</v>
      </c>
      <c r="I996" t="s">
        <v>1003</v>
      </c>
      <c r="J996">
        <f>Table1[[#This Row],[Quantity]]*Table1[[#This Row],[Price]]*(1-Table1[[#This Row],[Discount]])</f>
        <v>5100</v>
      </c>
      <c r="K996">
        <f>VALUE(SUBSTITUTE(Table1[[#This Row],[Discount]],"%",""))/100</f>
        <v>0.15</v>
      </c>
    </row>
    <row r="997" spans="1:11" x14ac:dyDescent="0.35">
      <c r="A997">
        <v>1995</v>
      </c>
      <c r="B997" s="1">
        <v>45696</v>
      </c>
      <c r="C997" t="s">
        <v>974</v>
      </c>
      <c r="D997" t="s">
        <v>979</v>
      </c>
      <c r="E997" t="s">
        <v>992</v>
      </c>
      <c r="F997" t="s">
        <v>998</v>
      </c>
      <c r="G997">
        <v>8</v>
      </c>
      <c r="H997">
        <v>2500</v>
      </c>
      <c r="I997" t="s">
        <v>1000</v>
      </c>
      <c r="J997">
        <f>Table1[[#This Row],[Quantity]]*Table1[[#This Row],[Price]]*(1-Table1[[#This Row],[Discount]])</f>
        <v>19000</v>
      </c>
      <c r="K997">
        <f>VALUE(SUBSTITUTE(Table1[[#This Row],[Discount]],"%",""))/100</f>
        <v>0.05</v>
      </c>
    </row>
    <row r="998" spans="1:11" x14ac:dyDescent="0.35">
      <c r="A998">
        <v>1996</v>
      </c>
      <c r="B998" s="1">
        <v>45519</v>
      </c>
      <c r="C998" t="s">
        <v>975</v>
      </c>
      <c r="D998" t="s">
        <v>980</v>
      </c>
      <c r="E998" t="s">
        <v>983</v>
      </c>
      <c r="F998" t="s">
        <v>997</v>
      </c>
      <c r="G998">
        <v>6</v>
      </c>
      <c r="H998">
        <v>1354.67</v>
      </c>
      <c r="I998" t="s">
        <v>1002</v>
      </c>
      <c r="J998">
        <f>Table1[[#This Row],[Quantity]]*Table1[[#This Row],[Price]]*(1-Table1[[#This Row],[Discount]])</f>
        <v>6502.4160000000011</v>
      </c>
      <c r="K998">
        <f>VALUE(SUBSTITUTE(Table1[[#This Row],[Discount]],"%",""))/100</f>
        <v>0.2</v>
      </c>
    </row>
    <row r="999" spans="1:11" x14ac:dyDescent="0.35">
      <c r="A999">
        <v>1997</v>
      </c>
      <c r="B999" s="1">
        <v>45859</v>
      </c>
      <c r="C999" t="s">
        <v>976</v>
      </c>
      <c r="D999" t="s">
        <v>981</v>
      </c>
      <c r="E999" t="s">
        <v>986</v>
      </c>
      <c r="F999" t="s">
        <v>997</v>
      </c>
      <c r="G999">
        <v>1</v>
      </c>
      <c r="H999">
        <v>1500</v>
      </c>
      <c r="I999" t="s">
        <v>1001</v>
      </c>
      <c r="J999">
        <f>Table1[[#This Row],[Quantity]]*Table1[[#This Row],[Price]]*(1-Table1[[#This Row],[Discount]])</f>
        <v>1500</v>
      </c>
      <c r="K999">
        <f>VALUE(SUBSTITUTE(Table1[[#This Row],[Discount]],"%",""))/100</f>
        <v>0</v>
      </c>
    </row>
    <row r="1000" spans="1:11" x14ac:dyDescent="0.35">
      <c r="A1000">
        <v>1998</v>
      </c>
      <c r="B1000" s="1">
        <v>45725</v>
      </c>
      <c r="C1000" t="s">
        <v>707</v>
      </c>
      <c r="D1000" t="s">
        <v>980</v>
      </c>
      <c r="E1000" t="s">
        <v>995</v>
      </c>
      <c r="F1000" t="s">
        <v>997</v>
      </c>
      <c r="G1000">
        <v>2</v>
      </c>
      <c r="H1000">
        <v>1500</v>
      </c>
      <c r="I1000" t="s">
        <v>1003</v>
      </c>
      <c r="J1000">
        <f>Table1[[#This Row],[Quantity]]*Table1[[#This Row],[Price]]*(1-Table1[[#This Row],[Discount]])</f>
        <v>2550</v>
      </c>
      <c r="K1000">
        <f>VALUE(SUBSTITUTE(Table1[[#This Row],[Discount]],"%",""))/100</f>
        <v>0.15</v>
      </c>
    </row>
    <row r="1001" spans="1:11" x14ac:dyDescent="0.35">
      <c r="A1001">
        <v>1999</v>
      </c>
      <c r="B1001" s="1">
        <v>45756</v>
      </c>
      <c r="C1001" t="s">
        <v>977</v>
      </c>
      <c r="D1001" t="s">
        <v>979</v>
      </c>
      <c r="E1001" t="s">
        <v>994</v>
      </c>
      <c r="F1001" t="s">
        <v>997</v>
      </c>
      <c r="G1001">
        <v>5</v>
      </c>
      <c r="H1001">
        <v>500</v>
      </c>
      <c r="I1001" t="s">
        <v>1000</v>
      </c>
      <c r="J1001">
        <f>Table1[[#This Row],[Quantity]]*Table1[[#This Row],[Price]]*(1-Table1[[#This Row],[Discount]])</f>
        <v>2375</v>
      </c>
      <c r="K1001">
        <f>VALUE(SUBSTITUTE(Table1[[#This Row],[Discount]],"%",""))/100</f>
        <v>0.05</v>
      </c>
    </row>
  </sheetData>
  <phoneticPr fontId="2" type="noConversion"/>
  <conditionalFormatting sqref="A2:K1001">
    <cfRule type="containsBlanks" priority="2">
      <formula>LEN(TRIM(A2))=0</formula>
    </cfRule>
  </conditionalFormatting>
  <conditionalFormatting sqref="A1:XFD1048576">
    <cfRule type="cellIs" dxfId="5" priority="9" operator="equal">
      <formula>""" """</formula>
    </cfRule>
  </conditionalFormatting>
  <conditionalFormatting sqref="D1:D1048576">
    <cfRule type="containsBlanks" priority="1">
      <formula>LEN(TRIM(D1))=0</formula>
    </cfRule>
  </conditionalFormatting>
  <conditionalFormatting sqref="D13">
    <cfRule type="containsBlanks" priority="5">
      <formula>LEN(TRIM(D13))=0</formula>
    </cfRule>
  </conditionalFormatting>
  <conditionalFormatting sqref="J1:J1048576">
    <cfRule type="cellIs" dxfId="4" priority="10" operator="greaterThan">
      <formula>10000</formula>
    </cfRule>
  </conditionalFormatting>
  <conditionalFormatting sqref="K1:K1048576">
    <cfRule type="cellIs" dxfId="3" priority="11" operator="greaterThan">
      <formula>0.15</formula>
    </cfRule>
    <cfRule type="cellIs" dxfId="2" priority="12" operator="greaterThan">
      <formula>0.15</formula>
    </cfRule>
  </conditionalFormatting>
  <conditionalFormatting sqref="K2:K1001">
    <cfRule type="cellIs" dxfId="1" priority="14" operator="greaterThan">
      <formula>0.15</formula>
    </cfRule>
  </conditionalFormatting>
  <conditionalFormatting sqref="M15">
    <cfRule type="cellIs" dxfId="0" priority="13" operator="greaterThan">
      <formula>0.15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48318-5903-4AD2-9D21-3DE330A87AD3}">
  <dimension ref="D1:U7"/>
  <sheetViews>
    <sheetView tabSelected="1" topLeftCell="B1" zoomScale="62" zoomScaleNormal="70" workbookViewId="0">
      <selection activeCell="X15" sqref="X15"/>
    </sheetView>
  </sheetViews>
  <sheetFormatPr defaultRowHeight="14.5" x14ac:dyDescent="0.35"/>
  <cols>
    <col min="6" max="6" width="8.7265625" customWidth="1"/>
    <col min="8" max="8" width="8.7265625" customWidth="1"/>
  </cols>
  <sheetData>
    <row r="1" spans="4:21" ht="26" x14ac:dyDescent="0.6">
      <c r="D1" s="10"/>
      <c r="E1" s="12" t="s">
        <v>1032</v>
      </c>
      <c r="F1" s="12"/>
      <c r="G1" s="12"/>
      <c r="H1" s="12"/>
      <c r="I1" s="12"/>
      <c r="J1" s="12"/>
      <c r="K1" s="12"/>
      <c r="L1" s="12"/>
      <c r="M1" s="12"/>
      <c r="N1" s="12"/>
      <c r="O1" s="12"/>
      <c r="P1" s="12"/>
      <c r="Q1" s="12"/>
      <c r="R1" s="12"/>
      <c r="S1" s="12"/>
      <c r="T1" s="12"/>
      <c r="U1" s="12"/>
    </row>
    <row r="7" spans="4:21" x14ac:dyDescent="0.35">
      <c r="R7" t="s">
        <v>1031</v>
      </c>
    </row>
  </sheetData>
  <mergeCells count="1">
    <mergeCell ref="E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850-6729-45B3-9AEF-7697C0A18C58}">
  <dimension ref="A1:K21"/>
  <sheetViews>
    <sheetView zoomScaleNormal="100" workbookViewId="0">
      <selection activeCell="G24" sqref="G24"/>
    </sheetView>
  </sheetViews>
  <sheetFormatPr defaultRowHeight="14.5" x14ac:dyDescent="0.35"/>
  <cols>
    <col min="1" max="1" width="16.1796875" bestFit="1" customWidth="1"/>
    <col min="2" max="2" width="11.81640625" bestFit="1" customWidth="1"/>
    <col min="4" max="4" width="12.36328125" bestFit="1" customWidth="1"/>
    <col min="5" max="6" width="11.81640625" bestFit="1" customWidth="1"/>
    <col min="7" max="7" width="12.36328125" bestFit="1" customWidth="1"/>
    <col min="8" max="8" width="14.54296875" bestFit="1" customWidth="1"/>
    <col min="9" max="9" width="9.81640625" bestFit="1" customWidth="1"/>
    <col min="10" max="10" width="12.36328125" bestFit="1" customWidth="1"/>
    <col min="11" max="11" width="11.81640625" bestFit="1" customWidth="1"/>
  </cols>
  <sheetData>
    <row r="1" spans="1:11" x14ac:dyDescent="0.35">
      <c r="A1" t="s">
        <v>1009</v>
      </c>
      <c r="B1" s="4">
        <f>SUM(data!J:J)</f>
        <v>6740582.1489999993</v>
      </c>
      <c r="D1" s="5"/>
    </row>
    <row r="3" spans="1:11" x14ac:dyDescent="0.35">
      <c r="A3" t="s">
        <v>1007</v>
      </c>
      <c r="B3" s="3">
        <f>AVERAGE(data!J2:J1001)</f>
        <v>6740.5821489999989</v>
      </c>
      <c r="D3" s="9" t="s">
        <v>1015</v>
      </c>
      <c r="E3" s="9"/>
      <c r="G3" s="9" t="s">
        <v>1017</v>
      </c>
      <c r="H3" s="9"/>
      <c r="J3" s="9" t="s">
        <v>1018</v>
      </c>
      <c r="K3" s="9"/>
    </row>
    <row r="5" spans="1:11" x14ac:dyDescent="0.35">
      <c r="A5" t="s">
        <v>1008</v>
      </c>
      <c r="B5" s="3">
        <f>MAX(data!J:J)</f>
        <v>45000</v>
      </c>
      <c r="D5" s="6" t="s">
        <v>1011</v>
      </c>
      <c r="E5" t="s">
        <v>1010</v>
      </c>
      <c r="G5" s="6" t="s">
        <v>1011</v>
      </c>
      <c r="H5" t="s">
        <v>1016</v>
      </c>
      <c r="J5" s="6" t="s">
        <v>1011</v>
      </c>
      <c r="K5" t="s">
        <v>1010</v>
      </c>
    </row>
    <row r="6" spans="1:11" x14ac:dyDescent="0.35">
      <c r="D6" s="7" t="s">
        <v>979</v>
      </c>
      <c r="E6" s="13">
        <v>1867534.3339999998</v>
      </c>
      <c r="G6" s="7" t="s">
        <v>997</v>
      </c>
      <c r="H6" s="13">
        <v>1918</v>
      </c>
      <c r="J6" s="7" t="s">
        <v>1019</v>
      </c>
      <c r="K6" s="13">
        <v>602073.35</v>
      </c>
    </row>
    <row r="7" spans="1:11" x14ac:dyDescent="0.35">
      <c r="A7" s="8" t="s">
        <v>1013</v>
      </c>
      <c r="B7" s="8"/>
      <c r="D7" s="7" t="s">
        <v>980</v>
      </c>
      <c r="E7" s="13">
        <v>1791211.2174999998</v>
      </c>
      <c r="G7" s="7" t="s">
        <v>999</v>
      </c>
      <c r="H7" s="13">
        <v>1909</v>
      </c>
      <c r="J7" s="7" t="s">
        <v>1020</v>
      </c>
      <c r="K7" s="13">
        <v>447140.90300000005</v>
      </c>
    </row>
    <row r="8" spans="1:11" x14ac:dyDescent="0.35">
      <c r="D8" s="7" t="s">
        <v>978</v>
      </c>
      <c r="E8" s="13">
        <v>1539688.0044999998</v>
      </c>
      <c r="G8" s="7" t="s">
        <v>998</v>
      </c>
      <c r="H8" s="13">
        <v>1706</v>
      </c>
      <c r="J8" s="7" t="s">
        <v>1021</v>
      </c>
      <c r="K8" s="13">
        <v>585443.87300000002</v>
      </c>
    </row>
    <row r="9" spans="1:11" x14ac:dyDescent="0.35">
      <c r="A9" s="6" t="s">
        <v>1014</v>
      </c>
      <c r="B9" t="s">
        <v>1010</v>
      </c>
      <c r="D9" s="7" t="s">
        <v>981</v>
      </c>
      <c r="E9" s="13">
        <v>1436084.0629999998</v>
      </c>
      <c r="G9" s="7" t="s">
        <v>1012</v>
      </c>
      <c r="H9" s="13">
        <v>5533</v>
      </c>
      <c r="J9" s="7" t="s">
        <v>1022</v>
      </c>
      <c r="K9" s="13">
        <v>655859.01</v>
      </c>
    </row>
    <row r="10" spans="1:11" x14ac:dyDescent="0.35">
      <c r="A10" s="7" t="s">
        <v>993</v>
      </c>
      <c r="B10" s="13">
        <v>515680</v>
      </c>
      <c r="D10" s="7" t="s">
        <v>1034</v>
      </c>
      <c r="E10" s="13">
        <v>106064.53</v>
      </c>
      <c r="J10" s="7" t="s">
        <v>1023</v>
      </c>
      <c r="K10" s="13">
        <v>445393.32199999999</v>
      </c>
    </row>
    <row r="11" spans="1:11" x14ac:dyDescent="0.35">
      <c r="A11" s="7" t="s">
        <v>994</v>
      </c>
      <c r="B11" s="13">
        <v>512947.88300000003</v>
      </c>
      <c r="D11" s="7" t="s">
        <v>1012</v>
      </c>
      <c r="E11" s="13">
        <v>6740582.1489999993</v>
      </c>
      <c r="J11" s="7" t="s">
        <v>1024</v>
      </c>
      <c r="K11" s="13">
        <v>455025.32699999999</v>
      </c>
    </row>
    <row r="12" spans="1:11" x14ac:dyDescent="0.35">
      <c r="A12" s="7" t="s">
        <v>990</v>
      </c>
      <c r="B12" s="13">
        <v>505373.55550000002</v>
      </c>
      <c r="J12" s="7" t="s">
        <v>1025</v>
      </c>
      <c r="K12" s="13">
        <v>440491.60349999997</v>
      </c>
    </row>
    <row r="13" spans="1:11" x14ac:dyDescent="0.35">
      <c r="A13" s="7" t="s">
        <v>985</v>
      </c>
      <c r="B13" s="13">
        <v>498728.842</v>
      </c>
      <c r="J13" s="7" t="s">
        <v>1026</v>
      </c>
      <c r="K13" s="13">
        <v>630809.84450000001</v>
      </c>
    </row>
    <row r="14" spans="1:11" x14ac:dyDescent="0.35">
      <c r="A14" s="7" t="s">
        <v>988</v>
      </c>
      <c r="B14" s="13">
        <v>498500.85</v>
      </c>
      <c r="J14" s="7" t="s">
        <v>1027</v>
      </c>
      <c r="K14" s="13">
        <v>593920</v>
      </c>
    </row>
    <row r="15" spans="1:11" x14ac:dyDescent="0.35">
      <c r="A15" s="7" t="s">
        <v>1012</v>
      </c>
      <c r="B15" s="13">
        <v>2531231.1305</v>
      </c>
      <c r="J15" s="7" t="s">
        <v>1028</v>
      </c>
      <c r="K15" s="13">
        <v>564802.5</v>
      </c>
    </row>
    <row r="16" spans="1:11" x14ac:dyDescent="0.35">
      <c r="J16" s="7" t="s">
        <v>1029</v>
      </c>
      <c r="K16" s="13">
        <v>661977.44400000002</v>
      </c>
    </row>
    <row r="17" spans="1:11" x14ac:dyDescent="0.35">
      <c r="A17" s="6" t="s">
        <v>1011</v>
      </c>
      <c r="B17" t="s">
        <v>1010</v>
      </c>
      <c r="J17" s="7" t="s">
        <v>1030</v>
      </c>
      <c r="K17" s="13">
        <v>657644.97200000007</v>
      </c>
    </row>
    <row r="18" spans="1:11" x14ac:dyDescent="0.35">
      <c r="A18" s="7" t="s">
        <v>997</v>
      </c>
      <c r="B18" s="11">
        <v>2166685.2804999999</v>
      </c>
      <c r="J18" s="7" t="s">
        <v>1012</v>
      </c>
      <c r="K18" s="13">
        <v>6740582.1490000002</v>
      </c>
    </row>
    <row r="19" spans="1:11" x14ac:dyDescent="0.35">
      <c r="A19" s="7" t="s">
        <v>999</v>
      </c>
      <c r="B19" s="11">
        <v>2300578.35</v>
      </c>
    </row>
    <row r="20" spans="1:11" x14ac:dyDescent="0.35">
      <c r="A20" s="7" t="s">
        <v>998</v>
      </c>
      <c r="B20" s="11">
        <v>2273318.5184999993</v>
      </c>
    </row>
    <row r="21" spans="1:11" x14ac:dyDescent="0.35">
      <c r="A21" s="7" t="s">
        <v>1012</v>
      </c>
      <c r="B21" s="11">
        <v>6740582.1489999993</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vishakha patle</cp:lastModifiedBy>
  <dcterms:created xsi:type="dcterms:W3CDTF">2025-07-29T06:03:18Z</dcterms:created>
  <dcterms:modified xsi:type="dcterms:W3CDTF">2026-03-22T17:17:19Z</dcterms:modified>
</cp:coreProperties>
</file>